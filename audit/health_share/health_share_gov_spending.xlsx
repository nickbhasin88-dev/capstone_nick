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ickbhasin/Documents/GitHub/capstone_nick/audit/health_share/"/>
    </mc:Choice>
  </mc:AlternateContent>
  <xr:revisionPtr revIDLastSave="0" documentId="13_ncr:1_{A81A0F0B-EB78-1B45-B464-3FF76917472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odel Countries" sheetId="1" r:id="rId1"/>
    <sheet name="All GHED Countries" sheetId="2" r:id="rId2"/>
    <sheet name="Spending by Category" sheetId="3" r:id="rId3"/>
    <sheet name="Latest Year by Category" sheetId="4" r:id="rId4"/>
    <sheet name="Notes" sheetId="5" r:id="rId5"/>
  </sheets>
  <definedNames>
    <definedName name="_xlnm._FilterDatabase" localSheetId="1" hidden="1">'All GHED Countries'!$A$4:$AF$199</definedName>
    <definedName name="_xlnm._FilterDatabase" localSheetId="3" hidden="1">'Latest Year by Category'!$A$4:$S$50</definedName>
    <definedName name="_xlnm._FilterDatabase" localSheetId="0" hidden="1">'Model Countries'!$A$4:$AF$75</definedName>
    <definedName name="_xlnm._FilterDatabase" localSheetId="2" hidden="1">'Spending by Category'!$A$4:$Z$505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  <c r="D49" i="4"/>
  <c r="O49" i="4" s="1"/>
  <c r="P48" i="4"/>
  <c r="D48" i="4"/>
  <c r="K48" i="4" s="1"/>
  <c r="P47" i="4"/>
  <c r="L47" i="4"/>
  <c r="J47" i="4"/>
  <c r="I47" i="4"/>
  <c r="H47" i="4"/>
  <c r="F47" i="4"/>
  <c r="D47" i="4"/>
  <c r="Q47" i="4" s="1"/>
  <c r="D46" i="4"/>
  <c r="D45" i="4"/>
  <c r="K45" i="4" s="1"/>
  <c r="Q44" i="4"/>
  <c r="P44" i="4"/>
  <c r="J44" i="4"/>
  <c r="G44" i="4"/>
  <c r="F44" i="4"/>
  <c r="D44" i="4"/>
  <c r="O44" i="4" s="1"/>
  <c r="D43" i="4"/>
  <c r="K43" i="4" s="1"/>
  <c r="P42" i="4"/>
  <c r="L42" i="4"/>
  <c r="J42" i="4"/>
  <c r="I42" i="4"/>
  <c r="H42" i="4"/>
  <c r="D42" i="4"/>
  <c r="Q42" i="4" s="1"/>
  <c r="D41" i="4"/>
  <c r="D40" i="4"/>
  <c r="K40" i="4" s="1"/>
  <c r="D39" i="4"/>
  <c r="Q39" i="4" s="1"/>
  <c r="P38" i="4"/>
  <c r="D38" i="4"/>
  <c r="K38" i="4" s="1"/>
  <c r="P37" i="4"/>
  <c r="L37" i="4"/>
  <c r="J37" i="4"/>
  <c r="I37" i="4"/>
  <c r="H37" i="4"/>
  <c r="F37" i="4"/>
  <c r="D37" i="4"/>
  <c r="Q37" i="4" s="1"/>
  <c r="D36" i="4"/>
  <c r="P36" i="4" s="1"/>
  <c r="J35" i="4"/>
  <c r="D35" i="4"/>
  <c r="L35" i="4" s="1"/>
  <c r="D34" i="4"/>
  <c r="H34" i="4" s="1"/>
  <c r="D33" i="4"/>
  <c r="P32" i="4"/>
  <c r="L32" i="4"/>
  <c r="J32" i="4"/>
  <c r="I32" i="4"/>
  <c r="H32" i="4"/>
  <c r="F32" i="4"/>
  <c r="D32" i="4"/>
  <c r="Q32" i="4" s="1"/>
  <c r="D31" i="4"/>
  <c r="P31" i="4" s="1"/>
  <c r="N30" i="4"/>
  <c r="L30" i="4"/>
  <c r="K30" i="4"/>
  <c r="D30" i="4"/>
  <c r="J30" i="4" s="1"/>
  <c r="D29" i="4"/>
  <c r="J29" i="4" s="1"/>
  <c r="F28" i="4"/>
  <c r="D28" i="4"/>
  <c r="D27" i="4"/>
  <c r="F27" i="4" s="1"/>
  <c r="D26" i="4"/>
  <c r="D25" i="4"/>
  <c r="P25" i="4" s="1"/>
  <c r="D24" i="4"/>
  <c r="Q24" i="4" s="1"/>
  <c r="P23" i="4"/>
  <c r="D23" i="4"/>
  <c r="N23" i="4" s="1"/>
  <c r="D22" i="4"/>
  <c r="I22" i="4" s="1"/>
  <c r="O21" i="4"/>
  <c r="L21" i="4"/>
  <c r="J21" i="4"/>
  <c r="H21" i="4"/>
  <c r="F21" i="4"/>
  <c r="D21" i="4"/>
  <c r="E21" i="4" s="1"/>
  <c r="H20" i="4"/>
  <c r="D20" i="4"/>
  <c r="P20" i="4" s="1"/>
  <c r="D19" i="4"/>
  <c r="Q19" i="4" s="1"/>
  <c r="P18" i="4"/>
  <c r="N18" i="4"/>
  <c r="H18" i="4"/>
  <c r="D18" i="4"/>
  <c r="L18" i="4" s="1"/>
  <c r="P17" i="4"/>
  <c r="L17" i="4"/>
  <c r="J17" i="4"/>
  <c r="I17" i="4"/>
  <c r="H17" i="4"/>
  <c r="D17" i="4"/>
  <c r="F17" i="4" s="1"/>
  <c r="D16" i="4"/>
  <c r="D15" i="4"/>
  <c r="N15" i="4" s="1"/>
  <c r="Q14" i="4"/>
  <c r="N14" i="4"/>
  <c r="D14" i="4"/>
  <c r="L14" i="4" s="1"/>
  <c r="D13" i="4"/>
  <c r="L13" i="4" s="1"/>
  <c r="S12" i="4"/>
  <c r="D12" i="4"/>
  <c r="L12" i="4" s="1"/>
  <c r="D11" i="4"/>
  <c r="E11" i="4" s="1"/>
  <c r="D10" i="4"/>
  <c r="D9" i="4"/>
  <c r="Q9" i="4" s="1"/>
  <c r="D8" i="4"/>
  <c r="P7" i="4"/>
  <c r="N7" i="4"/>
  <c r="L7" i="4"/>
  <c r="D7" i="4"/>
  <c r="H7" i="4" s="1"/>
  <c r="D6" i="4"/>
  <c r="N6" i="4" s="1"/>
  <c r="P5" i="4"/>
  <c r="L5" i="4"/>
  <c r="K5" i="4"/>
  <c r="H5" i="4"/>
  <c r="F5" i="4"/>
  <c r="D5" i="4"/>
  <c r="N5" i="4" s="1"/>
  <c r="Z505" i="3"/>
  <c r="M505" i="3"/>
  <c r="R505" i="3" s="1"/>
  <c r="Z504" i="3"/>
  <c r="M504" i="3"/>
  <c r="R504" i="3" s="1"/>
  <c r="Z503" i="3"/>
  <c r="M503" i="3"/>
  <c r="R503" i="3" s="1"/>
  <c r="Z502" i="3"/>
  <c r="M502" i="3"/>
  <c r="R502" i="3" s="1"/>
  <c r="Z501" i="3"/>
  <c r="M501" i="3"/>
  <c r="R501" i="3" s="1"/>
  <c r="Z500" i="3"/>
  <c r="M500" i="3"/>
  <c r="R500" i="3" s="1"/>
  <c r="Z499" i="3"/>
  <c r="M499" i="3"/>
  <c r="R499" i="3" s="1"/>
  <c r="Z498" i="3"/>
  <c r="M498" i="3"/>
  <c r="R498" i="3" s="1"/>
  <c r="Z497" i="3"/>
  <c r="M497" i="3"/>
  <c r="R497" i="3" s="1"/>
  <c r="Z496" i="3"/>
  <c r="M496" i="3"/>
  <c r="R496" i="3" s="1"/>
  <c r="Z495" i="3"/>
  <c r="M495" i="3"/>
  <c r="R495" i="3" s="1"/>
  <c r="Z494" i="3"/>
  <c r="M494" i="3"/>
  <c r="R494" i="3" s="1"/>
  <c r="Z493" i="3"/>
  <c r="M493" i="3"/>
  <c r="R493" i="3" s="1"/>
  <c r="Z492" i="3"/>
  <c r="M492" i="3"/>
  <c r="R492" i="3" s="1"/>
  <c r="Z491" i="3"/>
  <c r="M491" i="3"/>
  <c r="R491" i="3" s="1"/>
  <c r="Z490" i="3"/>
  <c r="M490" i="3"/>
  <c r="R490" i="3" s="1"/>
  <c r="Z489" i="3"/>
  <c r="M489" i="3"/>
  <c r="R489" i="3" s="1"/>
  <c r="Z488" i="3"/>
  <c r="M488" i="3"/>
  <c r="R488" i="3" s="1"/>
  <c r="Z487" i="3"/>
  <c r="M487" i="3"/>
  <c r="R487" i="3" s="1"/>
  <c r="Z486" i="3"/>
  <c r="M486" i="3"/>
  <c r="R486" i="3" s="1"/>
  <c r="Z485" i="3"/>
  <c r="M485" i="3"/>
  <c r="R485" i="3" s="1"/>
  <c r="Z484" i="3"/>
  <c r="M484" i="3"/>
  <c r="Z483" i="3"/>
  <c r="M483" i="3"/>
  <c r="R483" i="3" s="1"/>
  <c r="Z482" i="3"/>
  <c r="M482" i="3"/>
  <c r="R482" i="3" s="1"/>
  <c r="Z481" i="3"/>
  <c r="M481" i="3"/>
  <c r="R481" i="3" s="1"/>
  <c r="Z480" i="3"/>
  <c r="M480" i="3"/>
  <c r="R480" i="3" s="1"/>
  <c r="Z479" i="3"/>
  <c r="M479" i="3"/>
  <c r="R479" i="3" s="1"/>
  <c r="Z478" i="3"/>
  <c r="R478" i="3"/>
  <c r="M478" i="3"/>
  <c r="Z477" i="3"/>
  <c r="M477" i="3"/>
  <c r="R477" i="3" s="1"/>
  <c r="Z476" i="3"/>
  <c r="M476" i="3"/>
  <c r="R476" i="3" s="1"/>
  <c r="Z475" i="3"/>
  <c r="M475" i="3"/>
  <c r="R475" i="3" s="1"/>
  <c r="Z474" i="3"/>
  <c r="M474" i="3"/>
  <c r="R474" i="3" s="1"/>
  <c r="Z473" i="3"/>
  <c r="M473" i="3"/>
  <c r="R473" i="3" s="1"/>
  <c r="Z472" i="3"/>
  <c r="M472" i="3"/>
  <c r="R472" i="3" s="1"/>
  <c r="Z471" i="3"/>
  <c r="M471" i="3"/>
  <c r="R471" i="3" s="1"/>
  <c r="Z470" i="3"/>
  <c r="M470" i="3"/>
  <c r="R470" i="3" s="1"/>
  <c r="Z469" i="3"/>
  <c r="M469" i="3"/>
  <c r="R469" i="3" s="1"/>
  <c r="Z468" i="3"/>
  <c r="M468" i="3"/>
  <c r="R468" i="3" s="1"/>
  <c r="Z467" i="3"/>
  <c r="M467" i="3"/>
  <c r="R467" i="3" s="1"/>
  <c r="Z466" i="3"/>
  <c r="M466" i="3"/>
  <c r="R466" i="3" s="1"/>
  <c r="Z465" i="3"/>
  <c r="M465" i="3"/>
  <c r="R465" i="3" s="1"/>
  <c r="Z464" i="3"/>
  <c r="S47" i="4" s="1"/>
  <c r="M464" i="3"/>
  <c r="R464" i="3" s="1"/>
  <c r="R47" i="4" s="1"/>
  <c r="Z463" i="3"/>
  <c r="M463" i="3"/>
  <c r="R463" i="3" s="1"/>
  <c r="Z462" i="3"/>
  <c r="R462" i="3"/>
  <c r="M462" i="3"/>
  <c r="Z461" i="3"/>
  <c r="M461" i="3"/>
  <c r="R461" i="3" s="1"/>
  <c r="Z460" i="3"/>
  <c r="M460" i="3"/>
  <c r="R460" i="3" s="1"/>
  <c r="Z459" i="3"/>
  <c r="M459" i="3"/>
  <c r="R459" i="3" s="1"/>
  <c r="Z458" i="3"/>
  <c r="M458" i="3"/>
  <c r="R458" i="3" s="1"/>
  <c r="Z457" i="3"/>
  <c r="M457" i="3"/>
  <c r="R457" i="3" s="1"/>
  <c r="Z456" i="3"/>
  <c r="M456" i="3"/>
  <c r="R456" i="3" s="1"/>
  <c r="Z455" i="3"/>
  <c r="M455" i="3"/>
  <c r="R455" i="3" s="1"/>
  <c r="Z454" i="3"/>
  <c r="M454" i="3"/>
  <c r="R454" i="3" s="1"/>
  <c r="Z453" i="3"/>
  <c r="M453" i="3"/>
  <c r="R453" i="3" s="1"/>
  <c r="Z452" i="3"/>
  <c r="M452" i="3"/>
  <c r="R452" i="3" s="1"/>
  <c r="Z451" i="3"/>
  <c r="M451" i="3"/>
  <c r="R451" i="3" s="1"/>
  <c r="Z450" i="3"/>
  <c r="M450" i="3"/>
  <c r="R450" i="3" s="1"/>
  <c r="Z449" i="3"/>
  <c r="M449" i="3"/>
  <c r="R449" i="3" s="1"/>
  <c r="Z448" i="3"/>
  <c r="M448" i="3"/>
  <c r="R448" i="3" s="1"/>
  <c r="Z447" i="3"/>
  <c r="M447" i="3"/>
  <c r="R447" i="3" s="1"/>
  <c r="Z446" i="3"/>
  <c r="M446" i="3"/>
  <c r="R446" i="3" s="1"/>
  <c r="Z445" i="3"/>
  <c r="M445" i="3"/>
  <c r="R445" i="3" s="1"/>
  <c r="Z444" i="3"/>
  <c r="M444" i="3"/>
  <c r="R444" i="3" s="1"/>
  <c r="Z443" i="3"/>
  <c r="M443" i="3"/>
  <c r="R443" i="3" s="1"/>
  <c r="Z442" i="3"/>
  <c r="M442" i="3"/>
  <c r="R442" i="3" s="1"/>
  <c r="Z441" i="3"/>
  <c r="M441" i="3"/>
  <c r="R441" i="3" s="1"/>
  <c r="Z440" i="3"/>
  <c r="M440" i="3"/>
  <c r="R440" i="3" s="1"/>
  <c r="Z439" i="3"/>
  <c r="M439" i="3"/>
  <c r="R439" i="3" s="1"/>
  <c r="Z438" i="3"/>
  <c r="M438" i="3"/>
  <c r="Z437" i="3"/>
  <c r="R437" i="3"/>
  <c r="M437" i="3"/>
  <c r="Z436" i="3"/>
  <c r="M436" i="3"/>
  <c r="R436" i="3" s="1"/>
  <c r="Z435" i="3"/>
  <c r="R435" i="3"/>
  <c r="M435" i="3"/>
  <c r="Z434" i="3"/>
  <c r="M434" i="3"/>
  <c r="R434" i="3" s="1"/>
  <c r="Z433" i="3"/>
  <c r="R433" i="3"/>
  <c r="M433" i="3"/>
  <c r="Z432" i="3"/>
  <c r="M432" i="3"/>
  <c r="R432" i="3" s="1"/>
  <c r="Z431" i="3"/>
  <c r="S42" i="4" s="1"/>
  <c r="R431" i="3"/>
  <c r="R42" i="4" s="1"/>
  <c r="M431" i="3"/>
  <c r="Z430" i="3"/>
  <c r="M430" i="3"/>
  <c r="R430" i="3" s="1"/>
  <c r="Z429" i="3"/>
  <c r="M429" i="3"/>
  <c r="R429" i="3" s="1"/>
  <c r="Z428" i="3"/>
  <c r="M428" i="3"/>
  <c r="R428" i="3" s="1"/>
  <c r="Z427" i="3"/>
  <c r="M427" i="3"/>
  <c r="R427" i="3" s="1"/>
  <c r="Z426" i="3"/>
  <c r="M426" i="3"/>
  <c r="R426" i="3" s="1"/>
  <c r="Z425" i="3"/>
  <c r="M425" i="3"/>
  <c r="R425" i="3" s="1"/>
  <c r="Z424" i="3"/>
  <c r="M424" i="3"/>
  <c r="R424" i="3" s="1"/>
  <c r="Z423" i="3"/>
  <c r="M423" i="3"/>
  <c r="R423" i="3" s="1"/>
  <c r="Z422" i="3"/>
  <c r="M422" i="3"/>
  <c r="R422" i="3" s="1"/>
  <c r="Z421" i="3"/>
  <c r="R421" i="3"/>
  <c r="M421" i="3"/>
  <c r="Z420" i="3"/>
  <c r="M420" i="3"/>
  <c r="R420" i="3" s="1"/>
  <c r="Z419" i="3"/>
  <c r="M419" i="3"/>
  <c r="R419" i="3" s="1"/>
  <c r="Z418" i="3"/>
  <c r="M418" i="3"/>
  <c r="R418" i="3" s="1"/>
  <c r="Z417" i="3"/>
  <c r="M417" i="3"/>
  <c r="R417" i="3" s="1"/>
  <c r="Z416" i="3"/>
  <c r="M416" i="3"/>
  <c r="R416" i="3" s="1"/>
  <c r="Z415" i="3"/>
  <c r="M415" i="3"/>
  <c r="R415" i="3" s="1"/>
  <c r="Z414" i="3"/>
  <c r="M414" i="3"/>
  <c r="R414" i="3" s="1"/>
  <c r="Z413" i="3"/>
  <c r="M413" i="3"/>
  <c r="R413" i="3" s="1"/>
  <c r="Z412" i="3"/>
  <c r="R412" i="3"/>
  <c r="M412" i="3"/>
  <c r="Z411" i="3"/>
  <c r="M411" i="3"/>
  <c r="R411" i="3" s="1"/>
  <c r="Z410" i="3"/>
  <c r="M410" i="3"/>
  <c r="R410" i="3" s="1"/>
  <c r="R40" i="4" s="1"/>
  <c r="Z409" i="3"/>
  <c r="M409" i="3"/>
  <c r="R409" i="3" s="1"/>
  <c r="Z408" i="3"/>
  <c r="M408" i="3"/>
  <c r="R408" i="3" s="1"/>
  <c r="Z407" i="3"/>
  <c r="M407" i="3"/>
  <c r="R407" i="3" s="1"/>
  <c r="Z406" i="3"/>
  <c r="M406" i="3"/>
  <c r="R406" i="3" s="1"/>
  <c r="Z405" i="3"/>
  <c r="R405" i="3"/>
  <c r="M405" i="3"/>
  <c r="Z404" i="3"/>
  <c r="M404" i="3"/>
  <c r="R404" i="3" s="1"/>
  <c r="Z403" i="3"/>
  <c r="M403" i="3"/>
  <c r="R403" i="3" s="1"/>
  <c r="Z402" i="3"/>
  <c r="M402" i="3"/>
  <c r="R402" i="3" s="1"/>
  <c r="Z401" i="3"/>
  <c r="M401" i="3"/>
  <c r="R401" i="3" s="1"/>
  <c r="Z400" i="3"/>
  <c r="M400" i="3"/>
  <c r="R400" i="3" s="1"/>
  <c r="Z399" i="3"/>
  <c r="M399" i="3"/>
  <c r="R399" i="3" s="1"/>
  <c r="Z398" i="3"/>
  <c r="R398" i="3"/>
  <c r="M398" i="3"/>
  <c r="Z397" i="3"/>
  <c r="M397" i="3"/>
  <c r="R397" i="3" s="1"/>
  <c r="Z396" i="3"/>
  <c r="M396" i="3"/>
  <c r="R396" i="3" s="1"/>
  <c r="Z395" i="3"/>
  <c r="M395" i="3"/>
  <c r="R395" i="3" s="1"/>
  <c r="Z394" i="3"/>
  <c r="M394" i="3"/>
  <c r="R394" i="3" s="1"/>
  <c r="Z393" i="3"/>
  <c r="M393" i="3"/>
  <c r="R393" i="3" s="1"/>
  <c r="Z392" i="3"/>
  <c r="M392" i="3"/>
  <c r="R392" i="3" s="1"/>
  <c r="Z391" i="3"/>
  <c r="M391" i="3"/>
  <c r="R391" i="3" s="1"/>
  <c r="Z390" i="3"/>
  <c r="M390" i="3"/>
  <c r="R390" i="3" s="1"/>
  <c r="Z389" i="3"/>
  <c r="M389" i="3"/>
  <c r="R389" i="3" s="1"/>
  <c r="Z388" i="3"/>
  <c r="M388" i="3"/>
  <c r="R388" i="3" s="1"/>
  <c r="Z387" i="3"/>
  <c r="M387" i="3"/>
  <c r="R387" i="3" s="1"/>
  <c r="Z386" i="3"/>
  <c r="M386" i="3"/>
  <c r="R386" i="3" s="1"/>
  <c r="Z385" i="3"/>
  <c r="M385" i="3"/>
  <c r="R385" i="3" s="1"/>
  <c r="Z384" i="3"/>
  <c r="R384" i="3"/>
  <c r="M384" i="3"/>
  <c r="M38" i="4" s="1"/>
  <c r="Z383" i="3"/>
  <c r="M383" i="3"/>
  <c r="R383" i="3" s="1"/>
  <c r="Z382" i="3"/>
  <c r="M382" i="3"/>
  <c r="R382" i="3" s="1"/>
  <c r="Z381" i="3"/>
  <c r="M381" i="3"/>
  <c r="R381" i="3" s="1"/>
  <c r="Z380" i="3"/>
  <c r="M380" i="3"/>
  <c r="R380" i="3" s="1"/>
  <c r="Z379" i="3"/>
  <c r="M379" i="3"/>
  <c r="R379" i="3" s="1"/>
  <c r="Z378" i="3"/>
  <c r="M378" i="3"/>
  <c r="R378" i="3" s="1"/>
  <c r="Z377" i="3"/>
  <c r="M377" i="3"/>
  <c r="R377" i="3" s="1"/>
  <c r="Z376" i="3"/>
  <c r="R376" i="3"/>
  <c r="M376" i="3"/>
  <c r="Z375" i="3"/>
  <c r="M375" i="3"/>
  <c r="R375" i="3" s="1"/>
  <c r="Z374" i="3"/>
  <c r="M374" i="3"/>
  <c r="R374" i="3" s="1"/>
  <c r="Z373" i="3"/>
  <c r="M373" i="3"/>
  <c r="R373" i="3" s="1"/>
  <c r="Z372" i="3"/>
  <c r="S37" i="4" s="1"/>
  <c r="R372" i="3"/>
  <c r="R37" i="4" s="1"/>
  <c r="M372" i="3"/>
  <c r="Z371" i="3"/>
  <c r="M371" i="3"/>
  <c r="R371" i="3" s="1"/>
  <c r="Z370" i="3"/>
  <c r="M370" i="3"/>
  <c r="R370" i="3" s="1"/>
  <c r="Z369" i="3"/>
  <c r="M369" i="3"/>
  <c r="R369" i="3" s="1"/>
  <c r="Z368" i="3"/>
  <c r="M368" i="3"/>
  <c r="R368" i="3" s="1"/>
  <c r="Z367" i="3"/>
  <c r="M367" i="3"/>
  <c r="R367" i="3" s="1"/>
  <c r="Z366" i="3"/>
  <c r="M366" i="3"/>
  <c r="R366" i="3" s="1"/>
  <c r="Z365" i="3"/>
  <c r="M365" i="3"/>
  <c r="R365" i="3" s="1"/>
  <c r="Z364" i="3"/>
  <c r="R364" i="3"/>
  <c r="M364" i="3"/>
  <c r="Z363" i="3"/>
  <c r="M363" i="3"/>
  <c r="R363" i="3" s="1"/>
  <c r="Z362" i="3"/>
  <c r="M362" i="3"/>
  <c r="R362" i="3" s="1"/>
  <c r="Z361" i="3"/>
  <c r="M361" i="3"/>
  <c r="R361" i="3" s="1"/>
  <c r="Z360" i="3"/>
  <c r="M360" i="3"/>
  <c r="R360" i="3" s="1"/>
  <c r="Z359" i="3"/>
  <c r="M359" i="3"/>
  <c r="R359" i="3" s="1"/>
  <c r="Z358" i="3"/>
  <c r="M358" i="3"/>
  <c r="R358" i="3" s="1"/>
  <c r="Z357" i="3"/>
  <c r="M357" i="3"/>
  <c r="R357" i="3" s="1"/>
  <c r="Z356" i="3"/>
  <c r="M356" i="3"/>
  <c r="R356" i="3" s="1"/>
  <c r="Z355" i="3"/>
  <c r="M355" i="3"/>
  <c r="R355" i="3" s="1"/>
  <c r="Z354" i="3"/>
  <c r="M354" i="3"/>
  <c r="R354" i="3" s="1"/>
  <c r="Z353" i="3"/>
  <c r="M353" i="3"/>
  <c r="R353" i="3" s="1"/>
  <c r="Z352" i="3"/>
  <c r="R352" i="3"/>
  <c r="M352" i="3"/>
  <c r="Z351" i="3"/>
  <c r="M351" i="3"/>
  <c r="R351" i="3" s="1"/>
  <c r="Z350" i="3"/>
  <c r="M350" i="3"/>
  <c r="R350" i="3" s="1"/>
  <c r="Z349" i="3"/>
  <c r="M349" i="3"/>
  <c r="R349" i="3" s="1"/>
  <c r="Z348" i="3"/>
  <c r="M348" i="3"/>
  <c r="R348" i="3" s="1"/>
  <c r="Z347" i="3"/>
  <c r="R347" i="3"/>
  <c r="M347" i="3"/>
  <c r="Z346" i="3"/>
  <c r="M346" i="3"/>
  <c r="R346" i="3" s="1"/>
  <c r="Z345" i="3"/>
  <c r="M345" i="3"/>
  <c r="R345" i="3" s="1"/>
  <c r="Z344" i="3"/>
  <c r="M344" i="3"/>
  <c r="R344" i="3" s="1"/>
  <c r="Z343" i="3"/>
  <c r="M343" i="3"/>
  <c r="R343" i="3" s="1"/>
  <c r="Z342" i="3"/>
  <c r="M342" i="3"/>
  <c r="R342" i="3" s="1"/>
  <c r="Z341" i="3"/>
  <c r="M341" i="3"/>
  <c r="R341" i="3" s="1"/>
  <c r="Z340" i="3"/>
  <c r="M340" i="3"/>
  <c r="R340" i="3" s="1"/>
  <c r="Z339" i="3"/>
  <c r="M339" i="3"/>
  <c r="R339" i="3" s="1"/>
  <c r="Z338" i="3"/>
  <c r="M338" i="3"/>
  <c r="R338" i="3" s="1"/>
  <c r="Z337" i="3"/>
  <c r="M337" i="3"/>
  <c r="R337" i="3" s="1"/>
  <c r="Z336" i="3"/>
  <c r="M336" i="3"/>
  <c r="R336" i="3" s="1"/>
  <c r="Z335" i="3"/>
  <c r="M335" i="3"/>
  <c r="R335" i="3" s="1"/>
  <c r="Z334" i="3"/>
  <c r="M334" i="3"/>
  <c r="R334" i="3" s="1"/>
  <c r="Z333" i="3"/>
  <c r="M333" i="3"/>
  <c r="R333" i="3" s="1"/>
  <c r="Z332" i="3"/>
  <c r="M332" i="3"/>
  <c r="R332" i="3" s="1"/>
  <c r="Z331" i="3"/>
  <c r="M331" i="3"/>
  <c r="R331" i="3" s="1"/>
  <c r="Z330" i="3"/>
  <c r="M330" i="3"/>
  <c r="R330" i="3" s="1"/>
  <c r="Z329" i="3"/>
  <c r="M329" i="3"/>
  <c r="R329" i="3" s="1"/>
  <c r="Z328" i="3"/>
  <c r="M328" i="3"/>
  <c r="R328" i="3" s="1"/>
  <c r="Z327" i="3"/>
  <c r="R327" i="3"/>
  <c r="M327" i="3"/>
  <c r="Z326" i="3"/>
  <c r="M326" i="3"/>
  <c r="R326" i="3" s="1"/>
  <c r="Z325" i="3"/>
  <c r="M325" i="3"/>
  <c r="R325" i="3" s="1"/>
  <c r="Z324" i="3"/>
  <c r="M324" i="3"/>
  <c r="R324" i="3" s="1"/>
  <c r="Z323" i="3"/>
  <c r="M323" i="3"/>
  <c r="R323" i="3" s="1"/>
  <c r="Z322" i="3"/>
  <c r="M322" i="3"/>
  <c r="R322" i="3" s="1"/>
  <c r="Z321" i="3"/>
  <c r="M321" i="3"/>
  <c r="R321" i="3" s="1"/>
  <c r="Z320" i="3"/>
  <c r="M320" i="3"/>
  <c r="R320" i="3" s="1"/>
  <c r="Z319" i="3"/>
  <c r="R319" i="3"/>
  <c r="M319" i="3"/>
  <c r="Z318" i="3"/>
  <c r="M318" i="3"/>
  <c r="R318" i="3" s="1"/>
  <c r="Z317" i="3"/>
  <c r="M317" i="3"/>
  <c r="R317" i="3" s="1"/>
  <c r="Z316" i="3"/>
  <c r="M316" i="3"/>
  <c r="R316" i="3" s="1"/>
  <c r="Z315" i="3"/>
  <c r="R315" i="3"/>
  <c r="M315" i="3"/>
  <c r="Z314" i="3"/>
  <c r="M314" i="3"/>
  <c r="R314" i="3" s="1"/>
  <c r="Z313" i="3"/>
  <c r="M313" i="3"/>
  <c r="R313" i="3" s="1"/>
  <c r="Z312" i="3"/>
  <c r="M312" i="3"/>
  <c r="R312" i="3" s="1"/>
  <c r="Z311" i="3"/>
  <c r="M311" i="3"/>
  <c r="R311" i="3" s="1"/>
  <c r="Z310" i="3"/>
  <c r="M310" i="3"/>
  <c r="R310" i="3" s="1"/>
  <c r="Z309" i="3"/>
  <c r="M309" i="3"/>
  <c r="R309" i="3" s="1"/>
  <c r="Z308" i="3"/>
  <c r="M308" i="3"/>
  <c r="R308" i="3" s="1"/>
  <c r="Z307" i="3"/>
  <c r="R307" i="3"/>
  <c r="M307" i="3"/>
  <c r="Z306" i="3"/>
  <c r="S32" i="4" s="1"/>
  <c r="M306" i="3"/>
  <c r="R306" i="3" s="1"/>
  <c r="R32" i="4" s="1"/>
  <c r="Z305" i="3"/>
  <c r="M305" i="3"/>
  <c r="R305" i="3" s="1"/>
  <c r="Z304" i="3"/>
  <c r="M304" i="3"/>
  <c r="R304" i="3" s="1"/>
  <c r="Z303" i="3"/>
  <c r="R303" i="3"/>
  <c r="M303" i="3"/>
  <c r="Z302" i="3"/>
  <c r="M302" i="3"/>
  <c r="R302" i="3" s="1"/>
  <c r="Z301" i="3"/>
  <c r="M301" i="3"/>
  <c r="R301" i="3" s="1"/>
  <c r="Z300" i="3"/>
  <c r="M300" i="3"/>
  <c r="R300" i="3" s="1"/>
  <c r="Z299" i="3"/>
  <c r="M299" i="3"/>
  <c r="R299" i="3" s="1"/>
  <c r="Z298" i="3"/>
  <c r="R298" i="3"/>
  <c r="M298" i="3"/>
  <c r="Z297" i="3"/>
  <c r="M297" i="3"/>
  <c r="R297" i="3" s="1"/>
  <c r="Z296" i="3"/>
  <c r="M296" i="3"/>
  <c r="R296" i="3" s="1"/>
  <c r="Z295" i="3"/>
  <c r="R295" i="3"/>
  <c r="R31" i="4" s="1"/>
  <c r="M295" i="3"/>
  <c r="Z294" i="3"/>
  <c r="M294" i="3"/>
  <c r="R294" i="3" s="1"/>
  <c r="Z293" i="3"/>
  <c r="M293" i="3"/>
  <c r="R293" i="3" s="1"/>
  <c r="Z292" i="3"/>
  <c r="M292" i="3"/>
  <c r="R292" i="3" s="1"/>
  <c r="Z291" i="3"/>
  <c r="M291" i="3"/>
  <c r="R291" i="3" s="1"/>
  <c r="Z290" i="3"/>
  <c r="M290" i="3"/>
  <c r="R290" i="3" s="1"/>
  <c r="Z289" i="3"/>
  <c r="M289" i="3"/>
  <c r="R289" i="3" s="1"/>
  <c r="Z288" i="3"/>
  <c r="M288" i="3"/>
  <c r="R288" i="3" s="1"/>
  <c r="Z287" i="3"/>
  <c r="M287" i="3"/>
  <c r="R287" i="3" s="1"/>
  <c r="Z286" i="3"/>
  <c r="M286" i="3"/>
  <c r="R286" i="3" s="1"/>
  <c r="Z285" i="3"/>
  <c r="M285" i="3"/>
  <c r="R285" i="3" s="1"/>
  <c r="Z284" i="3"/>
  <c r="R284" i="3"/>
  <c r="M284" i="3"/>
  <c r="Z283" i="3"/>
  <c r="M283" i="3"/>
  <c r="R283" i="3" s="1"/>
  <c r="Z282" i="3"/>
  <c r="M282" i="3"/>
  <c r="R282" i="3" s="1"/>
  <c r="Z281" i="3"/>
  <c r="M281" i="3"/>
  <c r="R281" i="3" s="1"/>
  <c r="Z280" i="3"/>
  <c r="M280" i="3"/>
  <c r="R280" i="3" s="1"/>
  <c r="Z279" i="3"/>
  <c r="M279" i="3"/>
  <c r="R279" i="3" s="1"/>
  <c r="Z278" i="3"/>
  <c r="M278" i="3"/>
  <c r="R278" i="3" s="1"/>
  <c r="Z277" i="3"/>
  <c r="M277" i="3"/>
  <c r="R277" i="3" s="1"/>
  <c r="Z276" i="3"/>
  <c r="M276" i="3"/>
  <c r="R276" i="3" s="1"/>
  <c r="Z275" i="3"/>
  <c r="M275" i="3"/>
  <c r="R275" i="3" s="1"/>
  <c r="Z274" i="3"/>
  <c r="R274" i="3"/>
  <c r="M274" i="3"/>
  <c r="Z273" i="3"/>
  <c r="M273" i="3"/>
  <c r="R273" i="3" s="1"/>
  <c r="Z272" i="3"/>
  <c r="M272" i="3"/>
  <c r="R272" i="3" s="1"/>
  <c r="Z271" i="3"/>
  <c r="M271" i="3"/>
  <c r="R271" i="3" s="1"/>
  <c r="Z270" i="3"/>
  <c r="M270" i="3"/>
  <c r="R270" i="3" s="1"/>
  <c r="Z269" i="3"/>
  <c r="M269" i="3"/>
  <c r="R269" i="3" s="1"/>
  <c r="Z268" i="3"/>
  <c r="M268" i="3"/>
  <c r="R268" i="3" s="1"/>
  <c r="Z267" i="3"/>
  <c r="M267" i="3"/>
  <c r="R267" i="3" s="1"/>
  <c r="Z266" i="3"/>
  <c r="M266" i="3"/>
  <c r="R266" i="3" s="1"/>
  <c r="Z265" i="3"/>
  <c r="M265" i="3"/>
  <c r="R265" i="3" s="1"/>
  <c r="Z264" i="3"/>
  <c r="M264" i="3"/>
  <c r="R264" i="3" s="1"/>
  <c r="Z263" i="3"/>
  <c r="M263" i="3"/>
  <c r="R263" i="3" s="1"/>
  <c r="Z262" i="3"/>
  <c r="M262" i="3"/>
  <c r="R262" i="3" s="1"/>
  <c r="Z261" i="3"/>
  <c r="M261" i="3"/>
  <c r="R261" i="3" s="1"/>
  <c r="Z260" i="3"/>
  <c r="M260" i="3"/>
  <c r="R260" i="3" s="1"/>
  <c r="Z259" i="3"/>
  <c r="M259" i="3"/>
  <c r="R259" i="3" s="1"/>
  <c r="Z258" i="3"/>
  <c r="R258" i="3"/>
  <c r="M258" i="3"/>
  <c r="Z257" i="3"/>
  <c r="M257" i="3"/>
  <c r="R257" i="3" s="1"/>
  <c r="Z256" i="3"/>
  <c r="M256" i="3"/>
  <c r="R256" i="3" s="1"/>
  <c r="Z255" i="3"/>
  <c r="M255" i="3"/>
  <c r="R255" i="3" s="1"/>
  <c r="Z254" i="3"/>
  <c r="M254" i="3"/>
  <c r="R254" i="3" s="1"/>
  <c r="Z253" i="3"/>
  <c r="M253" i="3"/>
  <c r="R253" i="3" s="1"/>
  <c r="Z252" i="3"/>
  <c r="M252" i="3"/>
  <c r="R252" i="3" s="1"/>
  <c r="Z251" i="3"/>
  <c r="M251" i="3"/>
  <c r="R251" i="3" s="1"/>
  <c r="Z250" i="3"/>
  <c r="M250" i="3"/>
  <c r="R250" i="3" s="1"/>
  <c r="Z249" i="3"/>
  <c r="M249" i="3"/>
  <c r="R249" i="3" s="1"/>
  <c r="Z248" i="3"/>
  <c r="M248" i="3"/>
  <c r="R248" i="3" s="1"/>
  <c r="Z247" i="3"/>
  <c r="R247" i="3"/>
  <c r="M247" i="3"/>
  <c r="Z246" i="3"/>
  <c r="M246" i="3"/>
  <c r="R246" i="3" s="1"/>
  <c r="Z245" i="3"/>
  <c r="M245" i="3"/>
  <c r="R245" i="3" s="1"/>
  <c r="Z244" i="3"/>
  <c r="M244" i="3"/>
  <c r="R244" i="3" s="1"/>
  <c r="Z243" i="3"/>
  <c r="M243" i="3"/>
  <c r="R243" i="3" s="1"/>
  <c r="Z242" i="3"/>
  <c r="M242" i="3"/>
  <c r="R242" i="3" s="1"/>
  <c r="Z241" i="3"/>
  <c r="R241" i="3"/>
  <c r="M241" i="3"/>
  <c r="Z240" i="3"/>
  <c r="M240" i="3"/>
  <c r="R240" i="3" s="1"/>
  <c r="Z239" i="3"/>
  <c r="R239" i="3"/>
  <c r="M239" i="3"/>
  <c r="Z238" i="3"/>
  <c r="M238" i="3"/>
  <c r="R238" i="3" s="1"/>
  <c r="Z237" i="3"/>
  <c r="M237" i="3"/>
  <c r="R237" i="3" s="1"/>
  <c r="Z236" i="3"/>
  <c r="M236" i="3"/>
  <c r="R236" i="3" s="1"/>
  <c r="R27" i="4" s="1"/>
  <c r="Z235" i="3"/>
  <c r="M235" i="3"/>
  <c r="R235" i="3" s="1"/>
  <c r="Z234" i="3"/>
  <c r="M234" i="3"/>
  <c r="R234" i="3" s="1"/>
  <c r="Z233" i="3"/>
  <c r="M233" i="3"/>
  <c r="R233" i="3" s="1"/>
  <c r="Z232" i="3"/>
  <c r="M232" i="3"/>
  <c r="R232" i="3" s="1"/>
  <c r="Z231" i="3"/>
  <c r="M231" i="3"/>
  <c r="R231" i="3" s="1"/>
  <c r="Z230" i="3"/>
  <c r="M230" i="3"/>
  <c r="R230" i="3" s="1"/>
  <c r="Z229" i="3"/>
  <c r="M229" i="3"/>
  <c r="R229" i="3" s="1"/>
  <c r="Z228" i="3"/>
  <c r="M228" i="3"/>
  <c r="R228" i="3" s="1"/>
  <c r="Z227" i="3"/>
  <c r="M227" i="3"/>
  <c r="R227" i="3" s="1"/>
  <c r="Z226" i="3"/>
  <c r="M226" i="3"/>
  <c r="R226" i="3" s="1"/>
  <c r="Z225" i="3"/>
  <c r="M225" i="3"/>
  <c r="R225" i="3" s="1"/>
  <c r="Z224" i="3"/>
  <c r="M224" i="3"/>
  <c r="R224" i="3" s="1"/>
  <c r="Z223" i="3"/>
  <c r="M223" i="3"/>
  <c r="R223" i="3" s="1"/>
  <c r="Z222" i="3"/>
  <c r="M222" i="3"/>
  <c r="R222" i="3" s="1"/>
  <c r="Z221" i="3"/>
  <c r="R221" i="3"/>
  <c r="M221" i="3"/>
  <c r="Z220" i="3"/>
  <c r="M220" i="3"/>
  <c r="R220" i="3" s="1"/>
  <c r="Z219" i="3"/>
  <c r="R219" i="3"/>
  <c r="M219" i="3"/>
  <c r="Z218" i="3"/>
  <c r="M218" i="3"/>
  <c r="R218" i="3" s="1"/>
  <c r="Z217" i="3"/>
  <c r="R217" i="3"/>
  <c r="M217" i="3"/>
  <c r="Z216" i="3"/>
  <c r="M216" i="3"/>
  <c r="R216" i="3" s="1"/>
  <c r="Z215" i="3"/>
  <c r="R215" i="3"/>
  <c r="M215" i="3"/>
  <c r="Z214" i="3"/>
  <c r="M214" i="3"/>
  <c r="R214" i="3" s="1"/>
  <c r="Z213" i="3"/>
  <c r="M213" i="3"/>
  <c r="R213" i="3" s="1"/>
  <c r="Z212" i="3"/>
  <c r="M212" i="3"/>
  <c r="R212" i="3" s="1"/>
  <c r="Z211" i="3"/>
  <c r="M211" i="3"/>
  <c r="R211" i="3" s="1"/>
  <c r="Z210" i="3"/>
  <c r="M210" i="3"/>
  <c r="R210" i="3" s="1"/>
  <c r="Z209" i="3"/>
  <c r="M209" i="3"/>
  <c r="R209" i="3" s="1"/>
  <c r="Z208" i="3"/>
  <c r="M208" i="3"/>
  <c r="R208" i="3" s="1"/>
  <c r="Z207" i="3"/>
  <c r="M207" i="3"/>
  <c r="R207" i="3" s="1"/>
  <c r="Z206" i="3"/>
  <c r="M206" i="3"/>
  <c r="R206" i="3" s="1"/>
  <c r="Z205" i="3"/>
  <c r="M205" i="3"/>
  <c r="R205" i="3" s="1"/>
  <c r="Z204" i="3"/>
  <c r="M204" i="3"/>
  <c r="R204" i="3" s="1"/>
  <c r="Z203" i="3"/>
  <c r="R203" i="3"/>
  <c r="M203" i="3"/>
  <c r="Z202" i="3"/>
  <c r="M202" i="3"/>
  <c r="R202" i="3" s="1"/>
  <c r="Z201" i="3"/>
  <c r="M201" i="3"/>
  <c r="R201" i="3" s="1"/>
  <c r="Z200" i="3"/>
  <c r="M200" i="3"/>
  <c r="R200" i="3" s="1"/>
  <c r="Z199" i="3"/>
  <c r="M199" i="3"/>
  <c r="R199" i="3" s="1"/>
  <c r="Z198" i="3"/>
  <c r="M198" i="3"/>
  <c r="R198" i="3" s="1"/>
  <c r="Z197" i="3"/>
  <c r="M197" i="3"/>
  <c r="R197" i="3" s="1"/>
  <c r="Z196" i="3"/>
  <c r="M196" i="3"/>
  <c r="R196" i="3" s="1"/>
  <c r="Z195" i="3"/>
  <c r="M195" i="3"/>
  <c r="R195" i="3" s="1"/>
  <c r="Z194" i="3"/>
  <c r="M194" i="3"/>
  <c r="R194" i="3" s="1"/>
  <c r="Z193" i="3"/>
  <c r="M193" i="3"/>
  <c r="R193" i="3" s="1"/>
  <c r="Z192" i="3"/>
  <c r="R192" i="3"/>
  <c r="M192" i="3"/>
  <c r="Z191" i="3"/>
  <c r="M191" i="3"/>
  <c r="R191" i="3" s="1"/>
  <c r="Z190" i="3"/>
  <c r="M190" i="3"/>
  <c r="R190" i="3" s="1"/>
  <c r="Z189" i="3"/>
  <c r="M189" i="3"/>
  <c r="R189" i="3" s="1"/>
  <c r="Z188" i="3"/>
  <c r="M188" i="3"/>
  <c r="R188" i="3" s="1"/>
  <c r="Z187" i="3"/>
  <c r="M187" i="3"/>
  <c r="R187" i="3" s="1"/>
  <c r="Z186" i="3"/>
  <c r="M186" i="3"/>
  <c r="R186" i="3" s="1"/>
  <c r="Z185" i="3"/>
  <c r="M185" i="3"/>
  <c r="R185" i="3" s="1"/>
  <c r="Z184" i="3"/>
  <c r="R184" i="3"/>
  <c r="M184" i="3"/>
  <c r="Z183" i="3"/>
  <c r="M183" i="3"/>
  <c r="R183" i="3" s="1"/>
  <c r="Z182" i="3"/>
  <c r="M182" i="3"/>
  <c r="R182" i="3" s="1"/>
  <c r="Z181" i="3"/>
  <c r="M181" i="3"/>
  <c r="R181" i="3" s="1"/>
  <c r="Z180" i="3"/>
  <c r="M180" i="3"/>
  <c r="R180" i="3" s="1"/>
  <c r="Z179" i="3"/>
  <c r="M179" i="3"/>
  <c r="R179" i="3" s="1"/>
  <c r="Z178" i="3"/>
  <c r="R178" i="3"/>
  <c r="M178" i="3"/>
  <c r="Z177" i="3"/>
  <c r="M177" i="3"/>
  <c r="R177" i="3" s="1"/>
  <c r="Z176" i="3"/>
  <c r="M176" i="3"/>
  <c r="R176" i="3" s="1"/>
  <c r="Z175" i="3"/>
  <c r="M175" i="3"/>
  <c r="Z174" i="3"/>
  <c r="M174" i="3"/>
  <c r="R174" i="3" s="1"/>
  <c r="Z173" i="3"/>
  <c r="M173" i="3"/>
  <c r="R173" i="3" s="1"/>
  <c r="Z172" i="3"/>
  <c r="M172" i="3"/>
  <c r="R172" i="3" s="1"/>
  <c r="Z171" i="3"/>
  <c r="M171" i="3"/>
  <c r="R171" i="3" s="1"/>
  <c r="Z170" i="3"/>
  <c r="M170" i="3"/>
  <c r="R170" i="3" s="1"/>
  <c r="Z169" i="3"/>
  <c r="R169" i="3"/>
  <c r="M169" i="3"/>
  <c r="Z168" i="3"/>
  <c r="M168" i="3"/>
  <c r="R168" i="3" s="1"/>
  <c r="Z167" i="3"/>
  <c r="M167" i="3"/>
  <c r="R167" i="3" s="1"/>
  <c r="Z166" i="3"/>
  <c r="M166" i="3"/>
  <c r="R166" i="3" s="1"/>
  <c r="Z165" i="3"/>
  <c r="R165" i="3"/>
  <c r="M165" i="3"/>
  <c r="Z164" i="3"/>
  <c r="M164" i="3"/>
  <c r="R164" i="3" s="1"/>
  <c r="Z163" i="3"/>
  <c r="M163" i="3"/>
  <c r="R163" i="3" s="1"/>
  <c r="Z162" i="3"/>
  <c r="M162" i="3"/>
  <c r="R162" i="3" s="1"/>
  <c r="Z161" i="3"/>
  <c r="M161" i="3"/>
  <c r="R161" i="3" s="1"/>
  <c r="Z160" i="3"/>
  <c r="M160" i="3"/>
  <c r="R160" i="3" s="1"/>
  <c r="Z159" i="3"/>
  <c r="M159" i="3"/>
  <c r="R159" i="3" s="1"/>
  <c r="Z158" i="3"/>
  <c r="S22" i="4" s="1"/>
  <c r="M158" i="3"/>
  <c r="R158" i="3" s="1"/>
  <c r="R22" i="4" s="1"/>
  <c r="Z157" i="3"/>
  <c r="R157" i="3"/>
  <c r="M157" i="3"/>
  <c r="Z156" i="3"/>
  <c r="M156" i="3"/>
  <c r="R156" i="3" s="1"/>
  <c r="Z155" i="3"/>
  <c r="M155" i="3"/>
  <c r="R155" i="3" s="1"/>
  <c r="Z154" i="3"/>
  <c r="M154" i="3"/>
  <c r="R154" i="3" s="1"/>
  <c r="Z153" i="3"/>
  <c r="M153" i="3"/>
  <c r="R153" i="3" s="1"/>
  <c r="Z152" i="3"/>
  <c r="M152" i="3"/>
  <c r="R152" i="3" s="1"/>
  <c r="Z151" i="3"/>
  <c r="M151" i="3"/>
  <c r="R151" i="3" s="1"/>
  <c r="Z150" i="3"/>
  <c r="M150" i="3"/>
  <c r="R150" i="3" s="1"/>
  <c r="Z149" i="3"/>
  <c r="M149" i="3"/>
  <c r="R149" i="3" s="1"/>
  <c r="Z148" i="3"/>
  <c r="M148" i="3"/>
  <c r="R148" i="3" s="1"/>
  <c r="Z147" i="3"/>
  <c r="M147" i="3"/>
  <c r="R147" i="3" s="1"/>
  <c r="Z146" i="3"/>
  <c r="R146" i="3"/>
  <c r="M146" i="3"/>
  <c r="Z145" i="3"/>
  <c r="M145" i="3"/>
  <c r="R145" i="3" s="1"/>
  <c r="Z144" i="3"/>
  <c r="M144" i="3"/>
  <c r="R144" i="3" s="1"/>
  <c r="Z143" i="3"/>
  <c r="M143" i="3"/>
  <c r="R143" i="3" s="1"/>
  <c r="R20" i="4" s="1"/>
  <c r="Z142" i="3"/>
  <c r="R142" i="3"/>
  <c r="M142" i="3"/>
  <c r="Z141" i="3"/>
  <c r="M141" i="3"/>
  <c r="R141" i="3" s="1"/>
  <c r="Z140" i="3"/>
  <c r="M140" i="3"/>
  <c r="R140" i="3" s="1"/>
  <c r="Z139" i="3"/>
  <c r="R139" i="3"/>
  <c r="M139" i="3"/>
  <c r="Z138" i="3"/>
  <c r="M138" i="3"/>
  <c r="R138" i="3" s="1"/>
  <c r="Z137" i="3"/>
  <c r="R137" i="3"/>
  <c r="M137" i="3"/>
  <c r="Z136" i="3"/>
  <c r="M136" i="3"/>
  <c r="R136" i="3" s="1"/>
  <c r="Z135" i="3"/>
  <c r="M135" i="3"/>
  <c r="R135" i="3" s="1"/>
  <c r="Z134" i="3"/>
  <c r="M134" i="3"/>
  <c r="R134" i="3" s="1"/>
  <c r="Z133" i="3"/>
  <c r="R133" i="3"/>
  <c r="M133" i="3"/>
  <c r="Z132" i="3"/>
  <c r="M132" i="3"/>
  <c r="R132" i="3" s="1"/>
  <c r="Z131" i="3"/>
  <c r="M131" i="3"/>
  <c r="R131" i="3" s="1"/>
  <c r="Z130" i="3"/>
  <c r="M130" i="3"/>
  <c r="R130" i="3" s="1"/>
  <c r="Z129" i="3"/>
  <c r="R129" i="3"/>
  <c r="M129" i="3"/>
  <c r="Z128" i="3"/>
  <c r="M128" i="3"/>
  <c r="R128" i="3" s="1"/>
  <c r="Z127" i="3"/>
  <c r="M127" i="3"/>
  <c r="R127" i="3" s="1"/>
  <c r="Z126" i="3"/>
  <c r="M126" i="3"/>
  <c r="R126" i="3" s="1"/>
  <c r="Z125" i="3"/>
  <c r="M125" i="3"/>
  <c r="R125" i="3" s="1"/>
  <c r="Z124" i="3"/>
  <c r="M124" i="3"/>
  <c r="R124" i="3" s="1"/>
  <c r="Z123" i="3"/>
  <c r="M123" i="3"/>
  <c r="R123" i="3" s="1"/>
  <c r="Z122" i="3"/>
  <c r="R122" i="3"/>
  <c r="M122" i="3"/>
  <c r="Z121" i="3"/>
  <c r="M121" i="3"/>
  <c r="R121" i="3" s="1"/>
  <c r="Z120" i="3"/>
  <c r="M120" i="3"/>
  <c r="R120" i="3" s="1"/>
  <c r="Z119" i="3"/>
  <c r="M119" i="3"/>
  <c r="R119" i="3" s="1"/>
  <c r="Z118" i="3"/>
  <c r="M118" i="3"/>
  <c r="R118" i="3" s="1"/>
  <c r="Z117" i="3"/>
  <c r="M117" i="3"/>
  <c r="R117" i="3" s="1"/>
  <c r="Z116" i="3"/>
  <c r="R116" i="3"/>
  <c r="M116" i="3"/>
  <c r="Z115" i="3"/>
  <c r="R115" i="3"/>
  <c r="M115" i="3"/>
  <c r="Z114" i="3"/>
  <c r="M114" i="3"/>
  <c r="R114" i="3" s="1"/>
  <c r="Z113" i="3"/>
  <c r="M113" i="3"/>
  <c r="R113" i="3" s="1"/>
  <c r="Z112" i="3"/>
  <c r="M112" i="3"/>
  <c r="R112" i="3" s="1"/>
  <c r="Z111" i="3"/>
  <c r="M111" i="3"/>
  <c r="R111" i="3" s="1"/>
  <c r="Z110" i="3"/>
  <c r="M110" i="3"/>
  <c r="R110" i="3" s="1"/>
  <c r="Z109" i="3"/>
  <c r="M109" i="3"/>
  <c r="R109" i="3" s="1"/>
  <c r="Z108" i="3"/>
  <c r="R108" i="3"/>
  <c r="M108" i="3"/>
  <c r="Z107" i="3"/>
  <c r="M107" i="3"/>
  <c r="R107" i="3" s="1"/>
  <c r="Z106" i="3"/>
  <c r="M106" i="3"/>
  <c r="R106" i="3" s="1"/>
  <c r="Z105" i="3"/>
  <c r="M105" i="3"/>
  <c r="R105" i="3" s="1"/>
  <c r="Z104" i="3"/>
  <c r="M104" i="3"/>
  <c r="R104" i="3" s="1"/>
  <c r="Z103" i="3"/>
  <c r="M103" i="3"/>
  <c r="R103" i="3" s="1"/>
  <c r="Z102" i="3"/>
  <c r="M102" i="3"/>
  <c r="R102" i="3" s="1"/>
  <c r="Z101" i="3"/>
  <c r="M101" i="3"/>
  <c r="R101" i="3" s="1"/>
  <c r="Z100" i="3"/>
  <c r="M100" i="3"/>
  <c r="R100" i="3" s="1"/>
  <c r="Z99" i="3"/>
  <c r="M99" i="3"/>
  <c r="R99" i="3" s="1"/>
  <c r="Z98" i="3"/>
  <c r="M98" i="3"/>
  <c r="R98" i="3" s="1"/>
  <c r="Z97" i="3"/>
  <c r="R97" i="3"/>
  <c r="M97" i="3"/>
  <c r="Z96" i="3"/>
  <c r="M96" i="3"/>
  <c r="R96" i="3" s="1"/>
  <c r="Z95" i="3"/>
  <c r="M95" i="3"/>
  <c r="R95" i="3" s="1"/>
  <c r="Z94" i="3"/>
  <c r="M94" i="3"/>
  <c r="R94" i="3" s="1"/>
  <c r="Z93" i="3"/>
  <c r="M93" i="3"/>
  <c r="R93" i="3" s="1"/>
  <c r="Z92" i="3"/>
  <c r="M92" i="3"/>
  <c r="R92" i="3" s="1"/>
  <c r="Z91" i="3"/>
  <c r="R91" i="3"/>
  <c r="M91" i="3"/>
  <c r="Z90" i="3"/>
  <c r="M90" i="3"/>
  <c r="R90" i="3" s="1"/>
  <c r="Z89" i="3"/>
  <c r="M89" i="3"/>
  <c r="R89" i="3" s="1"/>
  <c r="Z88" i="3"/>
  <c r="M88" i="3"/>
  <c r="R88" i="3" s="1"/>
  <c r="Z87" i="3"/>
  <c r="R87" i="3"/>
  <c r="M87" i="3"/>
  <c r="Z86" i="3"/>
  <c r="M86" i="3"/>
  <c r="R86" i="3" s="1"/>
  <c r="Z85" i="3"/>
  <c r="M85" i="3"/>
  <c r="R85" i="3" s="1"/>
  <c r="Z84" i="3"/>
  <c r="M84" i="3"/>
  <c r="R84" i="3" s="1"/>
  <c r="Z83" i="3"/>
  <c r="R83" i="3"/>
  <c r="M83" i="3"/>
  <c r="Z82" i="3"/>
  <c r="M82" i="3"/>
  <c r="R82" i="3" s="1"/>
  <c r="Z81" i="3"/>
  <c r="M81" i="3"/>
  <c r="R81" i="3" s="1"/>
  <c r="Z80" i="3"/>
  <c r="M80" i="3"/>
  <c r="R80" i="3" s="1"/>
  <c r="Z79" i="3"/>
  <c r="M79" i="3"/>
  <c r="R79" i="3" s="1"/>
  <c r="Z78" i="3"/>
  <c r="M78" i="3"/>
  <c r="R78" i="3" s="1"/>
  <c r="Z77" i="3"/>
  <c r="R77" i="3"/>
  <c r="M77" i="3"/>
  <c r="Z76" i="3"/>
  <c r="M76" i="3"/>
  <c r="R76" i="3" s="1"/>
  <c r="Z75" i="3"/>
  <c r="M75" i="3"/>
  <c r="R75" i="3" s="1"/>
  <c r="Z74" i="3"/>
  <c r="M74" i="3"/>
  <c r="R74" i="3" s="1"/>
  <c r="Z73" i="3"/>
  <c r="R73" i="3"/>
  <c r="M73" i="3"/>
  <c r="Z72" i="3"/>
  <c r="M72" i="3"/>
  <c r="R72" i="3" s="1"/>
  <c r="Z71" i="3"/>
  <c r="M71" i="3"/>
  <c r="R71" i="3" s="1"/>
  <c r="Z70" i="3"/>
  <c r="M70" i="3"/>
  <c r="R70" i="3" s="1"/>
  <c r="Z69" i="3"/>
  <c r="R69" i="3"/>
  <c r="M69" i="3"/>
  <c r="Z68" i="3"/>
  <c r="M68" i="3"/>
  <c r="R68" i="3" s="1"/>
  <c r="Z67" i="3"/>
  <c r="M67" i="3"/>
  <c r="R67" i="3" s="1"/>
  <c r="Z66" i="3"/>
  <c r="M66" i="3"/>
  <c r="R66" i="3" s="1"/>
  <c r="Z65" i="3"/>
  <c r="R65" i="3"/>
  <c r="M65" i="3"/>
  <c r="Z64" i="3"/>
  <c r="M64" i="3"/>
  <c r="Z63" i="3"/>
  <c r="M63" i="3"/>
  <c r="R63" i="3" s="1"/>
  <c r="Z62" i="3"/>
  <c r="M62" i="3"/>
  <c r="R62" i="3" s="1"/>
  <c r="Z61" i="3"/>
  <c r="M61" i="3"/>
  <c r="R61" i="3" s="1"/>
  <c r="R12" i="4" s="1"/>
  <c r="Z60" i="3"/>
  <c r="M60" i="3"/>
  <c r="R60" i="3" s="1"/>
  <c r="Z59" i="3"/>
  <c r="M59" i="3"/>
  <c r="R59" i="3" s="1"/>
  <c r="Z58" i="3"/>
  <c r="R58" i="3"/>
  <c r="M58" i="3"/>
  <c r="Z57" i="3"/>
  <c r="M57" i="3"/>
  <c r="R57" i="3" s="1"/>
  <c r="Z56" i="3"/>
  <c r="M56" i="3"/>
  <c r="R56" i="3" s="1"/>
  <c r="Z55" i="3"/>
  <c r="M55" i="3"/>
  <c r="R55" i="3" s="1"/>
  <c r="Z54" i="3"/>
  <c r="R54" i="3"/>
  <c r="M54" i="3"/>
  <c r="Z53" i="3"/>
  <c r="M53" i="3"/>
  <c r="R53" i="3" s="1"/>
  <c r="Z52" i="3"/>
  <c r="R52" i="3"/>
  <c r="M52" i="3"/>
  <c r="Z51" i="3"/>
  <c r="M51" i="3"/>
  <c r="R51" i="3" s="1"/>
  <c r="Z50" i="3"/>
  <c r="M50" i="3"/>
  <c r="R50" i="3" s="1"/>
  <c r="Z49" i="3"/>
  <c r="M49" i="3"/>
  <c r="R49" i="3" s="1"/>
  <c r="Z48" i="3"/>
  <c r="M48" i="3"/>
  <c r="R48" i="3" s="1"/>
  <c r="R9" i="4" s="1"/>
  <c r="Z47" i="3"/>
  <c r="M47" i="3"/>
  <c r="R47" i="3" s="1"/>
  <c r="Z46" i="3"/>
  <c r="R46" i="3"/>
  <c r="M46" i="3"/>
  <c r="Z45" i="3"/>
  <c r="M45" i="3"/>
  <c r="R45" i="3" s="1"/>
  <c r="Z44" i="3"/>
  <c r="M44" i="3"/>
  <c r="R44" i="3" s="1"/>
  <c r="Z43" i="3"/>
  <c r="M43" i="3"/>
  <c r="R43" i="3" s="1"/>
  <c r="Z42" i="3"/>
  <c r="R42" i="3"/>
  <c r="M42" i="3"/>
  <c r="Z41" i="3"/>
  <c r="M41" i="3"/>
  <c r="R41" i="3" s="1"/>
  <c r="Z40" i="3"/>
  <c r="M40" i="3"/>
  <c r="R40" i="3" s="1"/>
  <c r="Z39" i="3"/>
  <c r="M39" i="3"/>
  <c r="R39" i="3" s="1"/>
  <c r="Z38" i="3"/>
  <c r="R38" i="3"/>
  <c r="R7" i="4" s="1"/>
  <c r="M38" i="3"/>
  <c r="Z37" i="3"/>
  <c r="M37" i="3"/>
  <c r="R37" i="3" s="1"/>
  <c r="Z36" i="3"/>
  <c r="M36" i="3"/>
  <c r="R36" i="3" s="1"/>
  <c r="Z35" i="3"/>
  <c r="M35" i="3"/>
  <c r="R35" i="3" s="1"/>
  <c r="Z34" i="3"/>
  <c r="M34" i="3"/>
  <c r="R34" i="3" s="1"/>
  <c r="Z33" i="3"/>
  <c r="M33" i="3"/>
  <c r="R33" i="3" s="1"/>
  <c r="Z32" i="3"/>
  <c r="M32" i="3"/>
  <c r="R32" i="3" s="1"/>
  <c r="Z31" i="3"/>
  <c r="M31" i="3"/>
  <c r="R31" i="3" s="1"/>
  <c r="Z30" i="3"/>
  <c r="M30" i="3"/>
  <c r="R30" i="3" s="1"/>
  <c r="Z29" i="3"/>
  <c r="M29" i="3"/>
  <c r="R29" i="3" s="1"/>
  <c r="Z28" i="3"/>
  <c r="M28" i="3"/>
  <c r="R28" i="3" s="1"/>
  <c r="Z27" i="3"/>
  <c r="M27" i="3"/>
  <c r="R27" i="3" s="1"/>
  <c r="Z26" i="3"/>
  <c r="R26" i="3"/>
  <c r="M26" i="3"/>
  <c r="Z25" i="3"/>
  <c r="M25" i="3"/>
  <c r="R25" i="3" s="1"/>
  <c r="Z24" i="3"/>
  <c r="M24" i="3"/>
  <c r="R24" i="3" s="1"/>
  <c r="Z23" i="3"/>
  <c r="M23" i="3"/>
  <c r="R23" i="3" s="1"/>
  <c r="Z22" i="3"/>
  <c r="M22" i="3"/>
  <c r="R22" i="3" s="1"/>
  <c r="Z21" i="3"/>
  <c r="M21" i="3"/>
  <c r="R21" i="3" s="1"/>
  <c r="Z20" i="3"/>
  <c r="M20" i="3"/>
  <c r="R20" i="3" s="1"/>
  <c r="Z19" i="3"/>
  <c r="M19" i="3"/>
  <c r="R19" i="3" s="1"/>
  <c r="Z18" i="3"/>
  <c r="M18" i="3"/>
  <c r="R18" i="3" s="1"/>
  <c r="Z17" i="3"/>
  <c r="R17" i="3"/>
  <c r="M17" i="3"/>
  <c r="Z16" i="3"/>
  <c r="M16" i="3"/>
  <c r="R16" i="3" s="1"/>
  <c r="Z15" i="3"/>
  <c r="M15" i="3"/>
  <c r="R15" i="3" s="1"/>
  <c r="Z14" i="3"/>
  <c r="R14" i="3"/>
  <c r="M14" i="3"/>
  <c r="Z13" i="3"/>
  <c r="M13" i="3"/>
  <c r="R13" i="3" s="1"/>
  <c r="Z12" i="3"/>
  <c r="M12" i="3"/>
  <c r="R12" i="3" s="1"/>
  <c r="Z11" i="3"/>
  <c r="M11" i="3"/>
  <c r="R11" i="3" s="1"/>
  <c r="Z10" i="3"/>
  <c r="M10" i="3"/>
  <c r="R10" i="3" s="1"/>
  <c r="Z9" i="3"/>
  <c r="M9" i="3"/>
  <c r="R9" i="3" s="1"/>
  <c r="R5" i="4" s="1"/>
  <c r="Z8" i="3"/>
  <c r="M8" i="3"/>
  <c r="R8" i="3" s="1"/>
  <c r="Z7" i="3"/>
  <c r="M7" i="3"/>
  <c r="R7" i="3" s="1"/>
  <c r="Z6" i="3"/>
  <c r="M6" i="3"/>
  <c r="R6" i="3" s="1"/>
  <c r="Z5" i="3"/>
  <c r="M5" i="3"/>
  <c r="R5" i="3" s="1"/>
  <c r="AE199" i="2"/>
  <c r="AD199" i="2"/>
  <c r="AC199" i="2"/>
  <c r="AE198" i="2"/>
  <c r="AD198" i="2"/>
  <c r="AC198" i="2"/>
  <c r="AF197" i="2"/>
  <c r="AE197" i="2"/>
  <c r="AD197" i="2"/>
  <c r="AC197" i="2"/>
  <c r="AE196" i="2"/>
  <c r="AD196" i="2"/>
  <c r="AC196" i="2"/>
  <c r="AE195" i="2"/>
  <c r="AD195" i="2"/>
  <c r="AC195" i="2"/>
  <c r="AE194" i="2"/>
  <c r="AD194" i="2"/>
  <c r="AC194" i="2"/>
  <c r="AE193" i="2"/>
  <c r="AD193" i="2"/>
  <c r="AC193" i="2"/>
  <c r="AE192" i="2"/>
  <c r="AD192" i="2"/>
  <c r="AC192" i="2"/>
  <c r="AE191" i="2"/>
  <c r="AD191" i="2"/>
  <c r="AC191" i="2"/>
  <c r="AE190" i="2"/>
  <c r="AD190" i="2"/>
  <c r="AC190" i="2"/>
  <c r="AE189" i="2"/>
  <c r="AD189" i="2"/>
  <c r="AC189" i="2"/>
  <c r="AE188" i="2"/>
  <c r="AD188" i="2"/>
  <c r="AC188" i="2"/>
  <c r="AE187" i="2"/>
  <c r="AD187" i="2"/>
  <c r="AC187" i="2"/>
  <c r="AE186" i="2"/>
  <c r="AD186" i="2"/>
  <c r="AC186" i="2"/>
  <c r="AE185" i="2"/>
  <c r="AD185" i="2"/>
  <c r="AC185" i="2"/>
  <c r="AE184" i="2"/>
  <c r="AD184" i="2"/>
  <c r="AC184" i="2"/>
  <c r="AE183" i="2"/>
  <c r="AD183" i="2"/>
  <c r="AC183" i="2"/>
  <c r="AE182" i="2"/>
  <c r="AD182" i="2"/>
  <c r="AC182" i="2"/>
  <c r="AE181" i="2"/>
  <c r="AD181" i="2"/>
  <c r="AC181" i="2"/>
  <c r="AE180" i="2"/>
  <c r="AD180" i="2"/>
  <c r="AC180" i="2"/>
  <c r="AE179" i="2"/>
  <c r="AD179" i="2"/>
  <c r="AC179" i="2"/>
  <c r="AE178" i="2"/>
  <c r="AD178" i="2"/>
  <c r="AC178" i="2"/>
  <c r="AE177" i="2"/>
  <c r="AD177" i="2"/>
  <c r="AC177" i="2"/>
  <c r="AE176" i="2"/>
  <c r="AD176" i="2"/>
  <c r="AC176" i="2"/>
  <c r="AF175" i="2"/>
  <c r="AE175" i="2"/>
  <c r="AD175" i="2"/>
  <c r="AC175" i="2"/>
  <c r="AE174" i="2"/>
  <c r="AD174" i="2"/>
  <c r="AC174" i="2"/>
  <c r="AE173" i="2"/>
  <c r="AD173" i="2"/>
  <c r="AC173" i="2"/>
  <c r="AF172" i="2"/>
  <c r="AE172" i="2"/>
  <c r="AD172" i="2"/>
  <c r="AC172" i="2"/>
  <c r="AE171" i="2"/>
  <c r="AD171" i="2"/>
  <c r="AC171" i="2"/>
  <c r="AE170" i="2"/>
  <c r="AD170" i="2"/>
  <c r="AC170" i="2"/>
  <c r="AE169" i="2"/>
  <c r="AD169" i="2"/>
  <c r="AC169" i="2"/>
  <c r="AE168" i="2"/>
  <c r="AD168" i="2"/>
  <c r="AC168" i="2"/>
  <c r="AE167" i="2"/>
  <c r="AD167" i="2"/>
  <c r="AC167" i="2"/>
  <c r="AE166" i="2"/>
  <c r="AD166" i="2"/>
  <c r="AC166" i="2"/>
  <c r="AE165" i="2"/>
  <c r="AD165" i="2"/>
  <c r="AC165" i="2"/>
  <c r="AE164" i="2"/>
  <c r="AD164" i="2"/>
  <c r="AC164" i="2"/>
  <c r="AE163" i="2"/>
  <c r="AD163" i="2"/>
  <c r="AC163" i="2"/>
  <c r="AE162" i="2"/>
  <c r="AD162" i="2"/>
  <c r="AC162" i="2"/>
  <c r="AE161" i="2"/>
  <c r="AD161" i="2"/>
  <c r="AC161" i="2"/>
  <c r="AE160" i="2"/>
  <c r="AD160" i="2"/>
  <c r="AC160" i="2"/>
  <c r="AE159" i="2"/>
  <c r="AD159" i="2"/>
  <c r="AC159" i="2"/>
  <c r="AE158" i="2"/>
  <c r="AD158" i="2"/>
  <c r="AC158" i="2"/>
  <c r="AE157" i="2"/>
  <c r="AD157" i="2"/>
  <c r="AC157" i="2"/>
  <c r="AE156" i="2"/>
  <c r="AD156" i="2"/>
  <c r="AC156" i="2"/>
  <c r="AE155" i="2"/>
  <c r="AD155" i="2"/>
  <c r="AC155" i="2"/>
  <c r="AE154" i="2"/>
  <c r="AD154" i="2"/>
  <c r="AC154" i="2"/>
  <c r="AE153" i="2"/>
  <c r="AD153" i="2"/>
  <c r="AC153" i="2"/>
  <c r="AE152" i="2"/>
  <c r="AD152" i="2"/>
  <c r="AC152" i="2"/>
  <c r="AE151" i="2"/>
  <c r="AD151" i="2"/>
  <c r="AC151" i="2"/>
  <c r="AE150" i="2"/>
  <c r="AD150" i="2"/>
  <c r="AC150" i="2"/>
  <c r="AE149" i="2"/>
  <c r="AD149" i="2"/>
  <c r="AC149" i="2"/>
  <c r="AE148" i="2"/>
  <c r="AD148" i="2"/>
  <c r="AC148" i="2"/>
  <c r="AE147" i="2"/>
  <c r="AD147" i="2"/>
  <c r="AC147" i="2"/>
  <c r="AE146" i="2"/>
  <c r="AD146" i="2"/>
  <c r="AC146" i="2"/>
  <c r="AE145" i="2"/>
  <c r="AD145" i="2"/>
  <c r="AC145" i="2"/>
  <c r="AE144" i="2"/>
  <c r="AD144" i="2"/>
  <c r="AC144" i="2"/>
  <c r="AE143" i="2"/>
  <c r="AD143" i="2"/>
  <c r="AC143" i="2"/>
  <c r="AE142" i="2"/>
  <c r="AD142" i="2"/>
  <c r="AC142" i="2"/>
  <c r="AE141" i="2"/>
  <c r="AD141" i="2"/>
  <c r="AC141" i="2"/>
  <c r="AE140" i="2"/>
  <c r="AD140" i="2"/>
  <c r="AC140" i="2"/>
  <c r="AE139" i="2"/>
  <c r="AD139" i="2"/>
  <c r="AC139" i="2"/>
  <c r="AE138" i="2"/>
  <c r="AD138" i="2"/>
  <c r="AC138" i="2"/>
  <c r="AE137" i="2"/>
  <c r="AD137" i="2"/>
  <c r="AC137" i="2"/>
  <c r="AF136" i="2"/>
  <c r="AE136" i="2"/>
  <c r="AD136" i="2"/>
  <c r="AC136" i="2"/>
  <c r="AE135" i="2"/>
  <c r="AD135" i="2"/>
  <c r="AC135" i="2"/>
  <c r="AE134" i="2"/>
  <c r="AD134" i="2"/>
  <c r="AC134" i="2"/>
  <c r="AE133" i="2"/>
  <c r="AD133" i="2"/>
  <c r="AC133" i="2"/>
  <c r="AE132" i="2"/>
  <c r="AD132" i="2"/>
  <c r="AC132" i="2"/>
  <c r="AE131" i="2"/>
  <c r="AD131" i="2"/>
  <c r="AC131" i="2"/>
  <c r="AE130" i="2"/>
  <c r="AD130" i="2"/>
  <c r="AC130" i="2"/>
  <c r="AE129" i="2"/>
  <c r="AD129" i="2"/>
  <c r="AC129" i="2"/>
  <c r="AE128" i="2"/>
  <c r="AD128" i="2"/>
  <c r="AC128" i="2"/>
  <c r="AE127" i="2"/>
  <c r="AD127" i="2"/>
  <c r="AC127" i="2"/>
  <c r="AE126" i="2"/>
  <c r="AD126" i="2"/>
  <c r="AC126" i="2"/>
  <c r="AE125" i="2"/>
  <c r="AD125" i="2"/>
  <c r="AC125" i="2"/>
  <c r="AE124" i="2"/>
  <c r="AD124" i="2"/>
  <c r="AC124" i="2"/>
  <c r="AE123" i="2"/>
  <c r="AD123" i="2"/>
  <c r="AC123" i="2"/>
  <c r="AE122" i="2"/>
  <c r="AD122" i="2"/>
  <c r="AC122" i="2"/>
  <c r="AE121" i="2"/>
  <c r="AD121" i="2"/>
  <c r="AC121" i="2"/>
  <c r="AE120" i="2"/>
  <c r="AD120" i="2"/>
  <c r="AC120" i="2"/>
  <c r="AE119" i="2"/>
  <c r="AD119" i="2"/>
  <c r="AC119" i="2"/>
  <c r="AE118" i="2"/>
  <c r="AD118" i="2"/>
  <c r="AC118" i="2"/>
  <c r="AE117" i="2"/>
  <c r="AD117" i="2"/>
  <c r="AC117" i="2"/>
  <c r="AE116" i="2"/>
  <c r="AD116" i="2"/>
  <c r="AC116" i="2"/>
  <c r="AE115" i="2"/>
  <c r="AD115" i="2"/>
  <c r="AC115" i="2"/>
  <c r="AE114" i="2"/>
  <c r="AD114" i="2"/>
  <c r="AC114" i="2"/>
  <c r="AE113" i="2"/>
  <c r="AD113" i="2"/>
  <c r="AC113" i="2"/>
  <c r="AE112" i="2"/>
  <c r="AD112" i="2"/>
  <c r="AC112" i="2"/>
  <c r="AF111" i="2"/>
  <c r="AE111" i="2"/>
  <c r="AD111" i="2"/>
  <c r="AC111" i="2"/>
  <c r="AE110" i="2"/>
  <c r="AD110" i="2"/>
  <c r="AC110" i="2"/>
  <c r="AE109" i="2"/>
  <c r="AD109" i="2"/>
  <c r="AC109" i="2"/>
  <c r="AE108" i="2"/>
  <c r="AD108" i="2"/>
  <c r="AC108" i="2"/>
  <c r="AE107" i="2"/>
  <c r="AD107" i="2"/>
  <c r="AC107" i="2"/>
  <c r="AE106" i="2"/>
  <c r="AD106" i="2"/>
  <c r="AC106" i="2"/>
  <c r="AE105" i="2"/>
  <c r="AD105" i="2"/>
  <c r="AC105" i="2"/>
  <c r="AE104" i="2"/>
  <c r="AD104" i="2"/>
  <c r="AC104" i="2"/>
  <c r="AE103" i="2"/>
  <c r="AD103" i="2"/>
  <c r="AC103" i="2"/>
  <c r="AE102" i="2"/>
  <c r="AD102" i="2"/>
  <c r="AC102" i="2"/>
  <c r="AE101" i="2"/>
  <c r="AD101" i="2"/>
  <c r="AC101" i="2"/>
  <c r="AE100" i="2"/>
  <c r="AD100" i="2"/>
  <c r="AC100" i="2"/>
  <c r="AE99" i="2"/>
  <c r="AD99" i="2"/>
  <c r="AC99" i="2"/>
  <c r="AE98" i="2"/>
  <c r="AD98" i="2"/>
  <c r="AC98" i="2"/>
  <c r="AE97" i="2"/>
  <c r="AD97" i="2"/>
  <c r="AC97" i="2"/>
  <c r="AE96" i="2"/>
  <c r="AD96" i="2"/>
  <c r="AC96" i="2"/>
  <c r="AE95" i="2"/>
  <c r="AD95" i="2"/>
  <c r="AC95" i="2"/>
  <c r="AE94" i="2"/>
  <c r="AD94" i="2"/>
  <c r="AC94" i="2"/>
  <c r="AE93" i="2"/>
  <c r="AD93" i="2"/>
  <c r="AC93" i="2"/>
  <c r="AE92" i="2"/>
  <c r="AD92" i="2"/>
  <c r="AC92" i="2"/>
  <c r="AE91" i="2"/>
  <c r="AD91" i="2"/>
  <c r="AC91" i="2"/>
  <c r="AE90" i="2"/>
  <c r="AD90" i="2"/>
  <c r="AC90" i="2"/>
  <c r="AE89" i="2"/>
  <c r="AD89" i="2"/>
  <c r="AC89" i="2"/>
  <c r="AE88" i="2"/>
  <c r="AD88" i="2"/>
  <c r="AC88" i="2"/>
  <c r="AE87" i="2"/>
  <c r="AD87" i="2"/>
  <c r="AC87" i="2"/>
  <c r="AE86" i="2"/>
  <c r="AD86" i="2"/>
  <c r="AC86" i="2"/>
  <c r="AE85" i="2"/>
  <c r="AD85" i="2"/>
  <c r="AC85" i="2"/>
  <c r="AE84" i="2"/>
  <c r="AD84" i="2"/>
  <c r="AC84" i="2"/>
  <c r="AE83" i="2"/>
  <c r="AD83" i="2"/>
  <c r="AC83" i="2"/>
  <c r="AE82" i="2"/>
  <c r="AD82" i="2"/>
  <c r="AC82" i="2"/>
  <c r="AE81" i="2"/>
  <c r="AD81" i="2"/>
  <c r="AC81" i="2"/>
  <c r="AE80" i="2"/>
  <c r="AD80" i="2"/>
  <c r="AC80" i="2"/>
  <c r="AE79" i="2"/>
  <c r="AD79" i="2"/>
  <c r="AC79" i="2"/>
  <c r="AE78" i="2"/>
  <c r="AD78" i="2"/>
  <c r="AC78" i="2"/>
  <c r="AE77" i="2"/>
  <c r="AD77" i="2"/>
  <c r="AC77" i="2"/>
  <c r="AE76" i="2"/>
  <c r="AD76" i="2"/>
  <c r="AC76" i="2"/>
  <c r="AF75" i="2"/>
  <c r="AE75" i="2"/>
  <c r="AD75" i="2"/>
  <c r="AC75" i="2"/>
  <c r="AE74" i="2"/>
  <c r="AD74" i="2"/>
  <c r="AC74" i="2"/>
  <c r="AE73" i="2"/>
  <c r="AD73" i="2"/>
  <c r="AC73" i="2"/>
  <c r="AF72" i="2"/>
  <c r="AE72" i="2"/>
  <c r="AD72" i="2"/>
  <c r="AC72" i="2"/>
  <c r="AE71" i="2"/>
  <c r="AD71" i="2"/>
  <c r="AC71" i="2"/>
  <c r="AE70" i="2"/>
  <c r="AD70" i="2"/>
  <c r="AC70" i="2"/>
  <c r="AE69" i="2"/>
  <c r="AD69" i="2"/>
  <c r="AC69" i="2"/>
  <c r="AE68" i="2"/>
  <c r="AD68" i="2"/>
  <c r="AC68" i="2"/>
  <c r="AE67" i="2"/>
  <c r="AD67" i="2"/>
  <c r="AC67" i="2"/>
  <c r="AE66" i="2"/>
  <c r="AD66" i="2"/>
  <c r="AC66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F50" i="2"/>
  <c r="AE50" i="2"/>
  <c r="AD50" i="2"/>
  <c r="AC50" i="2"/>
  <c r="AE49" i="2"/>
  <c r="AD49" i="2"/>
  <c r="AC49" i="2"/>
  <c r="AE48" i="2"/>
  <c r="AD48" i="2"/>
  <c r="AC48" i="2"/>
  <c r="AF47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F9" i="2" s="1"/>
  <c r="AE8" i="2"/>
  <c r="AD8" i="2"/>
  <c r="AC8" i="2"/>
  <c r="AE7" i="2"/>
  <c r="AD7" i="2"/>
  <c r="AC7" i="2"/>
  <c r="AE6" i="2"/>
  <c r="AD6" i="2"/>
  <c r="AC6" i="2"/>
  <c r="AF6" i="2" s="1"/>
  <c r="AE5" i="2"/>
  <c r="AD5" i="2"/>
  <c r="AC5" i="2"/>
  <c r="B2" i="2"/>
  <c r="AF191" i="2" s="1"/>
  <c r="AE75" i="1"/>
  <c r="AD75" i="1"/>
  <c r="AC75" i="1"/>
  <c r="AF75" i="1" s="1"/>
  <c r="AE74" i="1"/>
  <c r="AD74" i="1"/>
  <c r="AC74" i="1"/>
  <c r="AF74" i="1" s="1"/>
  <c r="AE73" i="1"/>
  <c r="AD73" i="1"/>
  <c r="AC73" i="1"/>
  <c r="AF73" i="1" s="1"/>
  <c r="AE72" i="1"/>
  <c r="AD72" i="1"/>
  <c r="AC72" i="1"/>
  <c r="AF72" i="1" s="1"/>
  <c r="AE71" i="1"/>
  <c r="AD71" i="1"/>
  <c r="AC71" i="1"/>
  <c r="AF71" i="1" s="1"/>
  <c r="AE70" i="1"/>
  <c r="AD70" i="1"/>
  <c r="AC70" i="1"/>
  <c r="AF70" i="1" s="1"/>
  <c r="AE69" i="1"/>
  <c r="AD69" i="1"/>
  <c r="AC69" i="1"/>
  <c r="AF69" i="1" s="1"/>
  <c r="AE68" i="1"/>
  <c r="AD68" i="1"/>
  <c r="AC68" i="1"/>
  <c r="AF68" i="1" s="1"/>
  <c r="AE67" i="1"/>
  <c r="AD67" i="1"/>
  <c r="AC67" i="1"/>
  <c r="AF67" i="1" s="1"/>
  <c r="AE66" i="1"/>
  <c r="AD66" i="1"/>
  <c r="AC66" i="1"/>
  <c r="AF66" i="1" s="1"/>
  <c r="AE65" i="1"/>
  <c r="AD65" i="1"/>
  <c r="AC65" i="1"/>
  <c r="AF65" i="1" s="1"/>
  <c r="AE64" i="1"/>
  <c r="AD64" i="1"/>
  <c r="AC64" i="1"/>
  <c r="AF64" i="1" s="1"/>
  <c r="AE63" i="1"/>
  <c r="AD63" i="1"/>
  <c r="AC63" i="1"/>
  <c r="AF63" i="1" s="1"/>
  <c r="AE62" i="1"/>
  <c r="AD62" i="1"/>
  <c r="AC62" i="1"/>
  <c r="AF62" i="1" s="1"/>
  <c r="AE61" i="1"/>
  <c r="AD61" i="1"/>
  <c r="AC61" i="1"/>
  <c r="AF61" i="1" s="1"/>
  <c r="AE60" i="1"/>
  <c r="AD60" i="1"/>
  <c r="AC60" i="1"/>
  <c r="AF60" i="1" s="1"/>
  <c r="AE59" i="1"/>
  <c r="AD59" i="1"/>
  <c r="AC59" i="1"/>
  <c r="AF59" i="1" s="1"/>
  <c r="AF58" i="1"/>
  <c r="AE58" i="1"/>
  <c r="AD58" i="1"/>
  <c r="AC58" i="1"/>
  <c r="AE57" i="1"/>
  <c r="AD57" i="1"/>
  <c r="AC57" i="1"/>
  <c r="AF57" i="1" s="1"/>
  <c r="AE56" i="1"/>
  <c r="AD56" i="1"/>
  <c r="AC56" i="1"/>
  <c r="AF56" i="1" s="1"/>
  <c r="AF55" i="1"/>
  <c r="AE55" i="1"/>
  <c r="AD55" i="1"/>
  <c r="AC55" i="1"/>
  <c r="AF54" i="1"/>
  <c r="AE54" i="1"/>
  <c r="AD54" i="1"/>
  <c r="AC54" i="1"/>
  <c r="AE53" i="1"/>
  <c r="AD53" i="1"/>
  <c r="AC53" i="1"/>
  <c r="AF53" i="1" s="1"/>
  <c r="AE52" i="1"/>
  <c r="AD52" i="1"/>
  <c r="AC52" i="1"/>
  <c r="AF52" i="1" s="1"/>
  <c r="AF51" i="1"/>
  <c r="AE51" i="1"/>
  <c r="AD51" i="1"/>
  <c r="AC51" i="1"/>
  <c r="AE50" i="1"/>
  <c r="AD50" i="1"/>
  <c r="AC50" i="1"/>
  <c r="AF50" i="1" s="1"/>
  <c r="AF49" i="1"/>
  <c r="AE49" i="1"/>
  <c r="AD49" i="1"/>
  <c r="AC49" i="1"/>
  <c r="AE48" i="1"/>
  <c r="AD48" i="1"/>
  <c r="AC48" i="1"/>
  <c r="AF48" i="1" s="1"/>
  <c r="AE47" i="1"/>
  <c r="AD47" i="1"/>
  <c r="AC47" i="1"/>
  <c r="AF47" i="1" s="1"/>
  <c r="AF46" i="1"/>
  <c r="AE46" i="1"/>
  <c r="AD46" i="1"/>
  <c r="AC46" i="1"/>
  <c r="AE45" i="1"/>
  <c r="AD45" i="1"/>
  <c r="AC45" i="1"/>
  <c r="AF45" i="1" s="1"/>
  <c r="AE44" i="1"/>
  <c r="AD44" i="1"/>
  <c r="AC44" i="1"/>
  <c r="AF44" i="1" s="1"/>
  <c r="AE43" i="1"/>
  <c r="AD43" i="1"/>
  <c r="AC43" i="1"/>
  <c r="AF43" i="1" s="1"/>
  <c r="AE42" i="1"/>
  <c r="AD42" i="1"/>
  <c r="AC42" i="1"/>
  <c r="AF42" i="1" s="1"/>
  <c r="AE41" i="1"/>
  <c r="AD41" i="1"/>
  <c r="AC41" i="1"/>
  <c r="AF41" i="1" s="1"/>
  <c r="AE40" i="1"/>
  <c r="AD40" i="1"/>
  <c r="AC40" i="1"/>
  <c r="AF40" i="1" s="1"/>
  <c r="AE39" i="1"/>
  <c r="AD39" i="1"/>
  <c r="AC39" i="1"/>
  <c r="AF39" i="1" s="1"/>
  <c r="AE38" i="1"/>
  <c r="AD38" i="1"/>
  <c r="AC38" i="1"/>
  <c r="AF38" i="1" s="1"/>
  <c r="AE37" i="1"/>
  <c r="AD37" i="1"/>
  <c r="AC37" i="1"/>
  <c r="AF37" i="1" s="1"/>
  <c r="AE36" i="1"/>
  <c r="AD36" i="1"/>
  <c r="AC36" i="1"/>
  <c r="AF36" i="1" s="1"/>
  <c r="AE35" i="1"/>
  <c r="AD35" i="1"/>
  <c r="AC35" i="1"/>
  <c r="AF35" i="1" s="1"/>
  <c r="AE34" i="1"/>
  <c r="AD34" i="1"/>
  <c r="AC34" i="1"/>
  <c r="AF34" i="1" s="1"/>
  <c r="AE33" i="1"/>
  <c r="AD33" i="1"/>
  <c r="AC33" i="1"/>
  <c r="AF33" i="1" s="1"/>
  <c r="AE32" i="1"/>
  <c r="AD32" i="1"/>
  <c r="AC32" i="1"/>
  <c r="AF32" i="1" s="1"/>
  <c r="AE31" i="1"/>
  <c r="AD31" i="1"/>
  <c r="AC31" i="1"/>
  <c r="AF31" i="1" s="1"/>
  <c r="AE30" i="1"/>
  <c r="AD30" i="1"/>
  <c r="AC30" i="1"/>
  <c r="AF30" i="1" s="1"/>
  <c r="AE29" i="1"/>
  <c r="AD29" i="1"/>
  <c r="AC29" i="1"/>
  <c r="AF29" i="1" s="1"/>
  <c r="AF28" i="1"/>
  <c r="AE28" i="1"/>
  <c r="AD28" i="1"/>
  <c r="AC28" i="1"/>
  <c r="AE27" i="1"/>
  <c r="AD27" i="1"/>
  <c r="AC27" i="1"/>
  <c r="AF27" i="1" s="1"/>
  <c r="AE26" i="1"/>
  <c r="AD26" i="1"/>
  <c r="AC26" i="1"/>
  <c r="AF26" i="1" s="1"/>
  <c r="AE25" i="1"/>
  <c r="AD25" i="1"/>
  <c r="AC25" i="1"/>
  <c r="AF25" i="1" s="1"/>
  <c r="AE24" i="1"/>
  <c r="AD24" i="1"/>
  <c r="AC24" i="1"/>
  <c r="AF24" i="1" s="1"/>
  <c r="AE23" i="1"/>
  <c r="AD23" i="1"/>
  <c r="AC23" i="1"/>
  <c r="AF23" i="1" s="1"/>
  <c r="AE22" i="1"/>
  <c r="AD22" i="1"/>
  <c r="AC22" i="1"/>
  <c r="AF22" i="1" s="1"/>
  <c r="AE21" i="1"/>
  <c r="AD21" i="1"/>
  <c r="AC21" i="1"/>
  <c r="AF21" i="1" s="1"/>
  <c r="AE20" i="1"/>
  <c r="AD20" i="1"/>
  <c r="AC20" i="1"/>
  <c r="AF20" i="1" s="1"/>
  <c r="AF19" i="1"/>
  <c r="AE19" i="1"/>
  <c r="AD19" i="1"/>
  <c r="AC19" i="1"/>
  <c r="AE18" i="1"/>
  <c r="AD18" i="1"/>
  <c r="AC18" i="1"/>
  <c r="AF18" i="1" s="1"/>
  <c r="AE17" i="1"/>
  <c r="AD17" i="1"/>
  <c r="AC17" i="1"/>
  <c r="AF17" i="1" s="1"/>
  <c r="AE16" i="1"/>
  <c r="AD16" i="1"/>
  <c r="AC16" i="1"/>
  <c r="AF16" i="1" s="1"/>
  <c r="AE15" i="1"/>
  <c r="AD15" i="1"/>
  <c r="AC15" i="1"/>
  <c r="AF15" i="1" s="1"/>
  <c r="AE14" i="1"/>
  <c r="AD14" i="1"/>
  <c r="AC14" i="1"/>
  <c r="AF14" i="1" s="1"/>
  <c r="AE13" i="1"/>
  <c r="AD13" i="1"/>
  <c r="AC13" i="1"/>
  <c r="AF13" i="1" s="1"/>
  <c r="AE12" i="1"/>
  <c r="AD12" i="1"/>
  <c r="AC12" i="1"/>
  <c r="AF12" i="1" s="1"/>
  <c r="AE11" i="1"/>
  <c r="AD11" i="1"/>
  <c r="AC11" i="1"/>
  <c r="AF11" i="1" s="1"/>
  <c r="AE10" i="1"/>
  <c r="AD10" i="1"/>
  <c r="AC10" i="1"/>
  <c r="AF10" i="1" s="1"/>
  <c r="AE9" i="1"/>
  <c r="AD9" i="1"/>
  <c r="AC9" i="1"/>
  <c r="AF9" i="1" s="1"/>
  <c r="AF8" i="1"/>
  <c r="AE8" i="1"/>
  <c r="AD8" i="1"/>
  <c r="AC8" i="1"/>
  <c r="AE7" i="1"/>
  <c r="AD7" i="1"/>
  <c r="AC7" i="1"/>
  <c r="AF7" i="1" s="1"/>
  <c r="AE6" i="1"/>
  <c r="AD6" i="1"/>
  <c r="AC6" i="1"/>
  <c r="AF6" i="1" s="1"/>
  <c r="AF5" i="1"/>
  <c r="AE5" i="1"/>
  <c r="AD5" i="1"/>
  <c r="AC5" i="1"/>
  <c r="R8" i="4" l="1"/>
  <c r="J22" i="4"/>
  <c r="H35" i="4"/>
  <c r="L22" i="4"/>
  <c r="M13" i="4"/>
  <c r="J20" i="4"/>
  <c r="N22" i="4"/>
  <c r="P24" i="4"/>
  <c r="F29" i="4"/>
  <c r="K35" i="4"/>
  <c r="G39" i="4"/>
  <c r="F49" i="4"/>
  <c r="F11" i="4"/>
  <c r="H13" i="4"/>
  <c r="AF22" i="2"/>
  <c r="AF25" i="2"/>
  <c r="AF86" i="2"/>
  <c r="AF147" i="2"/>
  <c r="AF150" i="2"/>
  <c r="R64" i="3"/>
  <c r="R24" i="4"/>
  <c r="H8" i="4"/>
  <c r="H11" i="4"/>
  <c r="J13" i="4"/>
  <c r="H15" i="4"/>
  <c r="N17" i="4"/>
  <c r="G19" i="4"/>
  <c r="K20" i="4"/>
  <c r="N21" i="4"/>
  <c r="P22" i="4"/>
  <c r="G29" i="4"/>
  <c r="F31" i="4"/>
  <c r="J39" i="4"/>
  <c r="G49" i="4"/>
  <c r="N8" i="4"/>
  <c r="L15" i="4"/>
  <c r="H19" i="4"/>
  <c r="L20" i="4"/>
  <c r="H29" i="4"/>
  <c r="L31" i="4"/>
  <c r="J49" i="4"/>
  <c r="O6" i="4"/>
  <c r="P8" i="4"/>
  <c r="F12" i="4"/>
  <c r="J19" i="4"/>
  <c r="N20" i="4"/>
  <c r="P21" i="4"/>
  <c r="F23" i="4"/>
  <c r="N31" i="4"/>
  <c r="E36" i="4"/>
  <c r="F43" i="4"/>
  <c r="P49" i="4"/>
  <c r="H12" i="4"/>
  <c r="F14" i="4"/>
  <c r="F18" i="4"/>
  <c r="L19" i="4"/>
  <c r="O31" i="4"/>
  <c r="L36" i="4"/>
  <c r="J43" i="4"/>
  <c r="J45" i="4"/>
  <c r="Q49" i="4"/>
  <c r="AF61" i="2"/>
  <c r="H23" i="4"/>
  <c r="AF36" i="2"/>
  <c r="AF97" i="2"/>
  <c r="AF100" i="2"/>
  <c r="AF161" i="2"/>
  <c r="F7" i="4"/>
  <c r="I12" i="4"/>
  <c r="G14" i="4"/>
  <c r="F22" i="4"/>
  <c r="J23" i="4"/>
  <c r="H30" i="4"/>
  <c r="G34" i="4"/>
  <c r="O36" i="4"/>
  <c r="F38" i="4"/>
  <c r="L43" i="4"/>
  <c r="F48" i="4"/>
  <c r="S50" i="4"/>
  <c r="AF122" i="2"/>
  <c r="AF125" i="2"/>
  <c r="AF186" i="2"/>
  <c r="N19" i="4"/>
  <c r="AF14" i="2"/>
  <c r="R21" i="4"/>
  <c r="R25" i="4"/>
  <c r="J12" i="4"/>
  <c r="J14" i="4"/>
  <c r="J18" i="4"/>
  <c r="P19" i="4"/>
  <c r="H22" i="4"/>
  <c r="L23" i="4"/>
  <c r="J38" i="4"/>
  <c r="F42" i="4"/>
  <c r="P43" i="4"/>
  <c r="J48" i="4"/>
  <c r="J50" i="4"/>
  <c r="P12" i="4"/>
  <c r="L38" i="4"/>
  <c r="L48" i="4"/>
  <c r="K50" i="4"/>
  <c r="AF187" i="2"/>
  <c r="AF35" i="2"/>
  <c r="AF11" i="2"/>
  <c r="AF19" i="2"/>
  <c r="AF27" i="2"/>
  <c r="AF30" i="2"/>
  <c r="AF41" i="2"/>
  <c r="AF52" i="2"/>
  <c r="AF55" i="2"/>
  <c r="AF66" i="2"/>
  <c r="AF77" i="2"/>
  <c r="AF80" i="2"/>
  <c r="AF91" i="2"/>
  <c r="AF102" i="2"/>
  <c r="AF105" i="2"/>
  <c r="AF116" i="2"/>
  <c r="AF127" i="2"/>
  <c r="AF130" i="2"/>
  <c r="AF141" i="2"/>
  <c r="AF152" i="2"/>
  <c r="AF155" i="2"/>
  <c r="AF166" i="2"/>
  <c r="AF177" i="2"/>
  <c r="AF180" i="2"/>
  <c r="M43" i="4"/>
  <c r="R438" i="3"/>
  <c r="L6" i="4"/>
  <c r="R11" i="4"/>
  <c r="R13" i="4"/>
  <c r="AF199" i="2"/>
  <c r="AF194" i="2"/>
  <c r="AF189" i="2"/>
  <c r="AF184" i="2"/>
  <c r="AF179" i="2"/>
  <c r="AF174" i="2"/>
  <c r="AF169" i="2"/>
  <c r="AF164" i="2"/>
  <c r="AF159" i="2"/>
  <c r="AF154" i="2"/>
  <c r="AF149" i="2"/>
  <c r="AF144" i="2"/>
  <c r="AF139" i="2"/>
  <c r="AF134" i="2"/>
  <c r="AF129" i="2"/>
  <c r="AF124" i="2"/>
  <c r="AF119" i="2"/>
  <c r="AF114" i="2"/>
  <c r="AF109" i="2"/>
  <c r="AF104" i="2"/>
  <c r="AF99" i="2"/>
  <c r="AF94" i="2"/>
  <c r="AF89" i="2"/>
  <c r="AF84" i="2"/>
  <c r="AF79" i="2"/>
  <c r="AF74" i="2"/>
  <c r="AF69" i="2"/>
  <c r="AF64" i="2"/>
  <c r="AF59" i="2"/>
  <c r="AF54" i="2"/>
  <c r="AF49" i="2"/>
  <c r="AF44" i="2"/>
  <c r="AF39" i="2"/>
  <c r="AF34" i="2"/>
  <c r="AF29" i="2"/>
  <c r="AF24" i="2"/>
  <c r="AF193" i="2"/>
  <c r="AF168" i="2"/>
  <c r="AF153" i="2"/>
  <c r="AF148" i="2"/>
  <c r="AF138" i="2"/>
  <c r="AF128" i="2"/>
  <c r="AF93" i="2"/>
  <c r="AF88" i="2"/>
  <c r="AF83" i="2"/>
  <c r="AF73" i="2"/>
  <c r="AF68" i="2"/>
  <c r="AF63" i="2"/>
  <c r="AF58" i="2"/>
  <c r="AF53" i="2"/>
  <c r="AF38" i="2"/>
  <c r="AF23" i="2"/>
  <c r="AF18" i="2"/>
  <c r="AF13" i="2"/>
  <c r="AF198" i="2"/>
  <c r="AF188" i="2"/>
  <c r="AF183" i="2"/>
  <c r="AF178" i="2"/>
  <c r="AF173" i="2"/>
  <c r="AF163" i="2"/>
  <c r="AF158" i="2"/>
  <c r="AF143" i="2"/>
  <c r="AF133" i="2"/>
  <c r="AF123" i="2"/>
  <c r="AF118" i="2"/>
  <c r="AF113" i="2"/>
  <c r="AF108" i="2"/>
  <c r="AF103" i="2"/>
  <c r="AF98" i="2"/>
  <c r="AF78" i="2"/>
  <c r="AF48" i="2"/>
  <c r="AF43" i="2"/>
  <c r="AF33" i="2"/>
  <c r="AF28" i="2"/>
  <c r="AF8" i="2"/>
  <c r="S7" i="4"/>
  <c r="AF31" i="2"/>
  <c r="AF42" i="2"/>
  <c r="AF56" i="2"/>
  <c r="AF67" i="2"/>
  <c r="AF70" i="2"/>
  <c r="AF117" i="2"/>
  <c r="AF120" i="2"/>
  <c r="AF156" i="2"/>
  <c r="AF167" i="2"/>
  <c r="AF170" i="2"/>
  <c r="AF181" i="2"/>
  <c r="AF192" i="2"/>
  <c r="AF195" i="2"/>
  <c r="AF12" i="2"/>
  <c r="AF20" i="2"/>
  <c r="AF45" i="2"/>
  <c r="AF81" i="2"/>
  <c r="AF92" i="2"/>
  <c r="AF95" i="2"/>
  <c r="AF106" i="2"/>
  <c r="AF131" i="2"/>
  <c r="AF142" i="2"/>
  <c r="AF145" i="2"/>
  <c r="AF7" i="2"/>
  <c r="AF15" i="2"/>
  <c r="O9" i="4"/>
  <c r="E9" i="4"/>
  <c r="M9" i="4"/>
  <c r="K9" i="4"/>
  <c r="S9" i="4"/>
  <c r="I9" i="4"/>
  <c r="L9" i="4"/>
  <c r="P9" i="4"/>
  <c r="N9" i="4"/>
  <c r="J9" i="4"/>
  <c r="H9" i="4"/>
  <c r="G9" i="4"/>
  <c r="F9" i="4"/>
  <c r="R14" i="4"/>
  <c r="AF17" i="2"/>
  <c r="AF87" i="2"/>
  <c r="AF162" i="2"/>
  <c r="AF165" i="2"/>
  <c r="R484" i="3"/>
  <c r="M48" i="4"/>
  <c r="M16" i="4"/>
  <c r="K16" i="4"/>
  <c r="S16" i="4"/>
  <c r="I16" i="4"/>
  <c r="Q16" i="4"/>
  <c r="G16" i="4"/>
  <c r="R16" i="4"/>
  <c r="P16" i="4"/>
  <c r="O16" i="4"/>
  <c r="N16" i="4"/>
  <c r="L16" i="4"/>
  <c r="J16" i="4"/>
  <c r="H16" i="4"/>
  <c r="F16" i="4"/>
  <c r="E16" i="4"/>
  <c r="AF51" i="2"/>
  <c r="AF137" i="2"/>
  <c r="AF176" i="2"/>
  <c r="S27" i="4"/>
  <c r="M23" i="4"/>
  <c r="R175" i="3"/>
  <c r="R23" i="4" s="1"/>
  <c r="AF10" i="2"/>
  <c r="AF26" i="2"/>
  <c r="AF37" i="2"/>
  <c r="AF40" i="2"/>
  <c r="AF62" i="2"/>
  <c r="AF76" i="2"/>
  <c r="AF90" i="2"/>
  <c r="AF112" i="2"/>
  <c r="AF115" i="2"/>
  <c r="AF140" i="2"/>
  <c r="AF190" i="2"/>
  <c r="M6" i="4"/>
  <c r="K6" i="4"/>
  <c r="S6" i="4"/>
  <c r="I6" i="4"/>
  <c r="Q6" i="4"/>
  <c r="G6" i="4"/>
  <c r="J6" i="4"/>
  <c r="F6" i="4"/>
  <c r="E6" i="4"/>
  <c r="R6" i="4"/>
  <c r="P6" i="4"/>
  <c r="S10" i="4"/>
  <c r="I10" i="4"/>
  <c r="Q10" i="4"/>
  <c r="G10" i="4"/>
  <c r="O10" i="4"/>
  <c r="E10" i="4"/>
  <c r="M10" i="4"/>
  <c r="L10" i="4"/>
  <c r="R10" i="4"/>
  <c r="P10" i="4"/>
  <c r="N10" i="4"/>
  <c r="K10" i="4"/>
  <c r="J10" i="4"/>
  <c r="H10" i="4"/>
  <c r="AF65" i="2"/>
  <c r="AF101" i="2"/>
  <c r="AF126" i="2"/>
  <c r="AF151" i="2"/>
  <c r="AF5" i="2"/>
  <c r="AF21" i="2"/>
  <c r="AF32" i="2"/>
  <c r="AF46" i="2"/>
  <c r="AF57" i="2"/>
  <c r="AF60" i="2"/>
  <c r="AF71" i="2"/>
  <c r="AF82" i="2"/>
  <c r="AF85" i="2"/>
  <c r="AF96" i="2"/>
  <c r="AF107" i="2"/>
  <c r="AF110" i="2"/>
  <c r="AF121" i="2"/>
  <c r="AF132" i="2"/>
  <c r="AF135" i="2"/>
  <c r="AF146" i="2"/>
  <c r="AF157" i="2"/>
  <c r="AF160" i="2"/>
  <c r="AF171" i="2"/>
  <c r="AF182" i="2"/>
  <c r="AF185" i="2"/>
  <c r="AF196" i="2"/>
  <c r="AF16" i="2"/>
  <c r="H6" i="4"/>
  <c r="F10" i="4"/>
  <c r="R30" i="4"/>
  <c r="R36" i="4"/>
  <c r="K33" i="4"/>
  <c r="S33" i="4"/>
  <c r="I33" i="4"/>
  <c r="R33" i="4"/>
  <c r="H33" i="4"/>
  <c r="Q33" i="4"/>
  <c r="G33" i="4"/>
  <c r="O33" i="4"/>
  <c r="E33" i="4"/>
  <c r="P33" i="4"/>
  <c r="N33" i="4"/>
  <c r="M33" i="4"/>
  <c r="L33" i="4"/>
  <c r="J33" i="4"/>
  <c r="F33" i="4"/>
  <c r="M18" i="4"/>
  <c r="J11" i="4"/>
  <c r="P13" i="4"/>
  <c r="S25" i="4"/>
  <c r="I25" i="4"/>
  <c r="Q25" i="4"/>
  <c r="G25" i="4"/>
  <c r="O25" i="4"/>
  <c r="E25" i="4"/>
  <c r="M25" i="4"/>
  <c r="N25" i="4"/>
  <c r="L25" i="4"/>
  <c r="K25" i="4"/>
  <c r="J25" i="4"/>
  <c r="H25" i="4"/>
  <c r="F25" i="4"/>
  <c r="R34" i="4"/>
  <c r="K8" i="4"/>
  <c r="S8" i="4"/>
  <c r="I8" i="4"/>
  <c r="Q8" i="4"/>
  <c r="G8" i="4"/>
  <c r="O8" i="4"/>
  <c r="E8" i="4"/>
  <c r="L8" i="4"/>
  <c r="L11" i="4"/>
  <c r="S15" i="4"/>
  <c r="I15" i="4"/>
  <c r="Q15" i="4"/>
  <c r="G15" i="4"/>
  <c r="O15" i="4"/>
  <c r="E15" i="4"/>
  <c r="M15" i="4"/>
  <c r="R15" i="4"/>
  <c r="P15" i="4"/>
  <c r="K28" i="4"/>
  <c r="S28" i="4"/>
  <c r="I28" i="4"/>
  <c r="R28" i="4"/>
  <c r="H28" i="4"/>
  <c r="Q28" i="4"/>
  <c r="G28" i="4"/>
  <c r="O28" i="4"/>
  <c r="E28" i="4"/>
  <c r="P28" i="4"/>
  <c r="N28" i="4"/>
  <c r="M28" i="4"/>
  <c r="L28" i="4"/>
  <c r="J28" i="4"/>
  <c r="Q7" i="4"/>
  <c r="G7" i="4"/>
  <c r="O7" i="4"/>
  <c r="E7" i="4"/>
  <c r="M7" i="4"/>
  <c r="K7" i="4"/>
  <c r="J7" i="4"/>
  <c r="F8" i="4"/>
  <c r="O11" i="4"/>
  <c r="O14" i="4"/>
  <c r="E14" i="4"/>
  <c r="M14" i="4"/>
  <c r="K14" i="4"/>
  <c r="S14" i="4"/>
  <c r="I14" i="4"/>
  <c r="P14" i="4"/>
  <c r="F15" i="4"/>
  <c r="R19" i="4"/>
  <c r="P11" i="4"/>
  <c r="M26" i="4"/>
  <c r="K26" i="4"/>
  <c r="S26" i="4"/>
  <c r="I26" i="4"/>
  <c r="Q26" i="4"/>
  <c r="G26" i="4"/>
  <c r="O26" i="4"/>
  <c r="N26" i="4"/>
  <c r="L26" i="4"/>
  <c r="J26" i="4"/>
  <c r="H26" i="4"/>
  <c r="F26" i="4"/>
  <c r="R29" i="4"/>
  <c r="R35" i="4"/>
  <c r="M41" i="4"/>
  <c r="K41" i="4"/>
  <c r="J41" i="4"/>
  <c r="S41" i="4"/>
  <c r="I41" i="4"/>
  <c r="Q41" i="4"/>
  <c r="G41" i="4"/>
  <c r="P41" i="4"/>
  <c r="F41" i="4"/>
  <c r="R41" i="4"/>
  <c r="O41" i="4"/>
  <c r="N41" i="4"/>
  <c r="L41" i="4"/>
  <c r="H41" i="4"/>
  <c r="E41" i="4"/>
  <c r="J8" i="4"/>
  <c r="K13" i="4"/>
  <c r="S13" i="4"/>
  <c r="I13" i="4"/>
  <c r="Q13" i="4"/>
  <c r="G13" i="4"/>
  <c r="O13" i="4"/>
  <c r="E13" i="4"/>
  <c r="N13" i="4"/>
  <c r="J15" i="4"/>
  <c r="R18" i="4"/>
  <c r="E26" i="4"/>
  <c r="S5" i="4"/>
  <c r="I5" i="4"/>
  <c r="Q5" i="4"/>
  <c r="G5" i="4"/>
  <c r="O5" i="4"/>
  <c r="E5" i="4"/>
  <c r="M5" i="4"/>
  <c r="J5" i="4"/>
  <c r="I7" i="4"/>
  <c r="M8" i="4"/>
  <c r="Q12" i="4"/>
  <c r="G12" i="4"/>
  <c r="O12" i="4"/>
  <c r="E12" i="4"/>
  <c r="M12" i="4"/>
  <c r="K12" i="4"/>
  <c r="N12" i="4"/>
  <c r="F13" i="4"/>
  <c r="H14" i="4"/>
  <c r="K15" i="4"/>
  <c r="P26" i="4"/>
  <c r="M11" i="4"/>
  <c r="K11" i="4"/>
  <c r="S11" i="4"/>
  <c r="I11" i="4"/>
  <c r="Q11" i="4"/>
  <c r="G11" i="4"/>
  <c r="N11" i="4"/>
  <c r="S17" i="4"/>
  <c r="O24" i="4"/>
  <c r="E24" i="4"/>
  <c r="M24" i="4"/>
  <c r="K24" i="4"/>
  <c r="S24" i="4"/>
  <c r="I24" i="4"/>
  <c r="N24" i="4"/>
  <c r="L24" i="4"/>
  <c r="J24" i="4"/>
  <c r="H24" i="4"/>
  <c r="G24" i="4"/>
  <c r="F24" i="4"/>
  <c r="R26" i="4"/>
  <c r="Q27" i="4"/>
  <c r="G27" i="4"/>
  <c r="O27" i="4"/>
  <c r="E27" i="4"/>
  <c r="M27" i="4"/>
  <c r="K27" i="4"/>
  <c r="P27" i="4"/>
  <c r="N27" i="4"/>
  <c r="L27" i="4"/>
  <c r="J27" i="4"/>
  <c r="I27" i="4"/>
  <c r="H27" i="4"/>
  <c r="R17" i="4"/>
  <c r="M21" i="4"/>
  <c r="K21" i="4"/>
  <c r="S21" i="4"/>
  <c r="I21" i="4"/>
  <c r="Q21" i="4"/>
  <c r="G21" i="4"/>
  <c r="Q22" i="4"/>
  <c r="G22" i="4"/>
  <c r="O22" i="4"/>
  <c r="E22" i="4"/>
  <c r="M22" i="4"/>
  <c r="K22" i="4"/>
  <c r="K23" i="4"/>
  <c r="S23" i="4"/>
  <c r="I23" i="4"/>
  <c r="Q23" i="4"/>
  <c r="G23" i="4"/>
  <c r="O23" i="4"/>
  <c r="E23" i="4"/>
  <c r="N29" i="4"/>
  <c r="J34" i="4"/>
  <c r="N35" i="4"/>
  <c r="N39" i="4"/>
  <c r="M46" i="4"/>
  <c r="L46" i="4"/>
  <c r="K46" i="4"/>
  <c r="J46" i="4"/>
  <c r="S46" i="4"/>
  <c r="I46" i="4"/>
  <c r="R46" i="4"/>
  <c r="H46" i="4"/>
  <c r="Q46" i="4"/>
  <c r="G46" i="4"/>
  <c r="P46" i="4"/>
  <c r="F46" i="4"/>
  <c r="O19" i="4"/>
  <c r="E19" i="4"/>
  <c r="M19" i="4"/>
  <c r="K19" i="4"/>
  <c r="S19" i="4"/>
  <c r="I19" i="4"/>
  <c r="S20" i="4"/>
  <c r="I20" i="4"/>
  <c r="Q20" i="4"/>
  <c r="G20" i="4"/>
  <c r="O20" i="4"/>
  <c r="E20" i="4"/>
  <c r="M20" i="4"/>
  <c r="P29" i="4"/>
  <c r="M31" i="4"/>
  <c r="K31" i="4"/>
  <c r="J31" i="4"/>
  <c r="S31" i="4"/>
  <c r="I31" i="4"/>
  <c r="Q31" i="4"/>
  <c r="G31" i="4"/>
  <c r="N34" i="4"/>
  <c r="P39" i="4"/>
  <c r="E46" i="4"/>
  <c r="Q17" i="4"/>
  <c r="G17" i="4"/>
  <c r="O17" i="4"/>
  <c r="E17" i="4"/>
  <c r="M17" i="4"/>
  <c r="K17" i="4"/>
  <c r="K18" i="4"/>
  <c r="S18" i="4"/>
  <c r="I18" i="4"/>
  <c r="Q18" i="4"/>
  <c r="G18" i="4"/>
  <c r="O18" i="4"/>
  <c r="E18" i="4"/>
  <c r="F19" i="4"/>
  <c r="F20" i="4"/>
  <c r="Q29" i="4"/>
  <c r="E31" i="4"/>
  <c r="P34" i="4"/>
  <c r="M36" i="4"/>
  <c r="K36" i="4"/>
  <c r="J36" i="4"/>
  <c r="S36" i="4"/>
  <c r="I36" i="4"/>
  <c r="Q36" i="4"/>
  <c r="G36" i="4"/>
  <c r="N46" i="4"/>
  <c r="Q34" i="4"/>
  <c r="S40" i="4"/>
  <c r="I40" i="4"/>
  <c r="Q40" i="4"/>
  <c r="G40" i="4"/>
  <c r="P40" i="4"/>
  <c r="F40" i="4"/>
  <c r="O40" i="4"/>
  <c r="E40" i="4"/>
  <c r="M40" i="4"/>
  <c r="L40" i="4"/>
  <c r="O46" i="4"/>
  <c r="S30" i="4"/>
  <c r="I30" i="4"/>
  <c r="Q30" i="4"/>
  <c r="G30" i="4"/>
  <c r="P30" i="4"/>
  <c r="F30" i="4"/>
  <c r="O30" i="4"/>
  <c r="E30" i="4"/>
  <c r="M30" i="4"/>
  <c r="H31" i="4"/>
  <c r="F36" i="4"/>
  <c r="H40" i="4"/>
  <c r="O29" i="4"/>
  <c r="E29" i="4"/>
  <c r="M29" i="4"/>
  <c r="L29" i="4"/>
  <c r="K29" i="4"/>
  <c r="S29" i="4"/>
  <c r="I29" i="4"/>
  <c r="S35" i="4"/>
  <c r="I35" i="4"/>
  <c r="Q35" i="4"/>
  <c r="G35" i="4"/>
  <c r="P35" i="4"/>
  <c r="F35" i="4"/>
  <c r="O35" i="4"/>
  <c r="E35" i="4"/>
  <c r="M35" i="4"/>
  <c r="H36" i="4"/>
  <c r="J40" i="4"/>
  <c r="O34" i="4"/>
  <c r="E34" i="4"/>
  <c r="M34" i="4"/>
  <c r="L34" i="4"/>
  <c r="K34" i="4"/>
  <c r="S34" i="4"/>
  <c r="I34" i="4"/>
  <c r="O39" i="4"/>
  <c r="E39" i="4"/>
  <c r="M39" i="4"/>
  <c r="L39" i="4"/>
  <c r="K39" i="4"/>
  <c r="S39" i="4"/>
  <c r="I39" i="4"/>
  <c r="R39" i="4"/>
  <c r="H39" i="4"/>
  <c r="F34" i="4"/>
  <c r="N36" i="4"/>
  <c r="F39" i="4"/>
  <c r="N40" i="4"/>
  <c r="S45" i="4"/>
  <c r="N38" i="4"/>
  <c r="N43" i="4"/>
  <c r="H44" i="4"/>
  <c r="R44" i="4"/>
  <c r="L45" i="4"/>
  <c r="N48" i="4"/>
  <c r="H49" i="4"/>
  <c r="R49" i="4"/>
  <c r="L50" i="4"/>
  <c r="K32" i="4"/>
  <c r="K37" i="4"/>
  <c r="E38" i="4"/>
  <c r="O38" i="4"/>
  <c r="K42" i="4"/>
  <c r="E43" i="4"/>
  <c r="O43" i="4"/>
  <c r="I44" i="4"/>
  <c r="S44" i="4"/>
  <c r="M45" i="4"/>
  <c r="K47" i="4"/>
  <c r="E48" i="4"/>
  <c r="O48" i="4"/>
  <c r="I49" i="4"/>
  <c r="S49" i="4"/>
  <c r="M50" i="4"/>
  <c r="N45" i="4"/>
  <c r="N50" i="4"/>
  <c r="M32" i="4"/>
  <c r="M37" i="4"/>
  <c r="G38" i="4"/>
  <c r="Q38" i="4"/>
  <c r="M42" i="4"/>
  <c r="G43" i="4"/>
  <c r="Q43" i="4"/>
  <c r="K44" i="4"/>
  <c r="E45" i="4"/>
  <c r="O45" i="4"/>
  <c r="M47" i="4"/>
  <c r="G48" i="4"/>
  <c r="Q48" i="4"/>
  <c r="K49" i="4"/>
  <c r="E50" i="4"/>
  <c r="O50" i="4"/>
  <c r="N32" i="4"/>
  <c r="N37" i="4"/>
  <c r="H38" i="4"/>
  <c r="R38" i="4"/>
  <c r="N42" i="4"/>
  <c r="H43" i="4"/>
  <c r="R43" i="4"/>
  <c r="L44" i="4"/>
  <c r="F45" i="4"/>
  <c r="P45" i="4"/>
  <c r="N47" i="4"/>
  <c r="H48" i="4"/>
  <c r="R48" i="4"/>
  <c r="L49" i="4"/>
  <c r="F50" i="4"/>
  <c r="P50" i="4"/>
  <c r="E32" i="4"/>
  <c r="O32" i="4"/>
  <c r="E37" i="4"/>
  <c r="O37" i="4"/>
  <c r="I38" i="4"/>
  <c r="S38" i="4"/>
  <c r="E42" i="4"/>
  <c r="O42" i="4"/>
  <c r="I43" i="4"/>
  <c r="S43" i="4"/>
  <c r="M44" i="4"/>
  <c r="G45" i="4"/>
  <c r="Q45" i="4"/>
  <c r="E47" i="4"/>
  <c r="O47" i="4"/>
  <c r="I48" i="4"/>
  <c r="S48" i="4"/>
  <c r="M49" i="4"/>
  <c r="G50" i="4"/>
  <c r="Q50" i="4"/>
  <c r="N44" i="4"/>
  <c r="H45" i="4"/>
  <c r="R45" i="4"/>
  <c r="N49" i="4"/>
  <c r="H50" i="4"/>
  <c r="R50" i="4"/>
  <c r="G32" i="4"/>
  <c r="G37" i="4"/>
  <c r="G42" i="4"/>
  <c r="E44" i="4"/>
  <c r="I45" i="4"/>
  <c r="G47" i="4"/>
  <c r="E49" i="4"/>
  <c r="I5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Abuja Declaration (2001): 15% of government spending on health. Edit to test another target; both sheets use this cell.</t>
        </r>
      </text>
    </comment>
  </commentList>
</comments>
</file>

<file path=xl/sharedStrings.xml><?xml version="1.0" encoding="utf-8"?>
<sst xmlns="http://schemas.openxmlformats.org/spreadsheetml/2006/main" count="2924" uniqueCount="484">
  <si>
    <t>Government health spending as % of government spending, model countries (71), 2000-2023 (WHO GHED, GGHE-D % GGE)</t>
  </si>
  <si>
    <t>Abuja target</t>
  </si>
  <si>
    <t>Grey cell = same value as the year before (likely carried forward by WHO, not a new figure). Blank = no WHO estimate. See Notes.</t>
  </si>
  <si>
    <t>Country</t>
  </si>
  <si>
    <t>ISO3</t>
  </si>
  <si>
    <t>MOU 15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</si>
  <si>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</si>
  <si>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</si>
  <si>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</si>
  <si>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</si>
  <si>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</si>
  <si>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</si>
  <si>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</si>
  <si>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</si>
  <si>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</si>
  <si>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</si>
  <si>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</si>
  <si>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</si>
  <si>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</si>
  <si>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</si>
  <si>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</si>
  <si>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</si>
  <si>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</si>
  <si>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</si>
  <si>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</si>
  <si>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</si>
  <si>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</si>
  <si>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</si>
  <si>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</si>
  <si>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</si>
  <si>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</si>
  <si>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Latest</t>
  </si>
  <si>
    <t>Latest Year</t>
  </si>
  <si>
    <t>Avg 2019-2023</t>
  </si>
  <si>
    <t>Room to Abuja target</t>
  </si>
  <si>
    <t>Angola</t>
  </si>
  <si>
    <t>AGO</t>
  </si>
  <si>
    <t>Azerbaijan</t>
  </si>
  <si>
    <t>AZE</t>
  </si>
  <si>
    <t>Bangladesh</t>
  </si>
  <si>
    <t>BGD</t>
  </si>
  <si>
    <t>Belize</t>
  </si>
  <si>
    <t>BLZ</t>
  </si>
  <si>
    <t>Benin</t>
  </si>
  <si>
    <t>BEN</t>
  </si>
  <si>
    <t>Bolivia (Plurinational State of)</t>
  </si>
  <si>
    <t>BOL</t>
  </si>
  <si>
    <t>Botswana</t>
  </si>
  <si>
    <t>BWA</t>
  </si>
  <si>
    <t>yes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</si>
  <si>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</si>
  <si>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</si>
  <si>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</si>
  <si>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</si>
  <si>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</si>
  <si>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</si>
  <si>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</si>
  <si>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</si>
  <si>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Central African Republic</t>
  </si>
  <si>
    <t>CAF</t>
  </si>
  <si>
    <t>Côte d'Ivoire</t>
  </si>
  <si>
    <t>CIV</t>
  </si>
  <si>
    <t>Democratic Republic of the Congo</t>
  </si>
  <si>
    <t>COD</t>
  </si>
  <si>
    <t>Djibouti</t>
  </si>
  <si>
    <t>DJI</t>
  </si>
  <si>
    <t>Dominican Republic</t>
  </si>
  <si>
    <t>DOM</t>
  </si>
  <si>
    <t>Egypt</t>
  </si>
  <si>
    <t>EGY</t>
  </si>
  <si>
    <t>El Salvador</t>
  </si>
  <si>
    <t>SLV</t>
  </si>
  <si>
    <t>Eswatini</t>
  </si>
  <si>
    <t>SWZ</t>
  </si>
  <si>
    <t>Ethiopia</t>
  </si>
  <si>
    <t>ETH</t>
  </si>
  <si>
    <t>Fiji</t>
  </si>
  <si>
    <t>FJI</t>
  </si>
  <si>
    <t>Gambia</t>
  </si>
  <si>
    <t>GMB</t>
  </si>
  <si>
    <t>Ghana</t>
  </si>
  <si>
    <t>GHA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</si>
  <si>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</si>
  <si>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</si>
  <si>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</si>
  <si>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</si>
  <si>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</si>
  <si>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</si>
  <si>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</si>
  <si>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</si>
  <si>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</si>
  <si>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</si>
  <si>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</si>
  <si>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</si>
  <si>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</si>
  <si>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</si>
  <si>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Iraq</t>
  </si>
  <si>
    <t>IRQ</t>
  </si>
  <si>
    <t>Jamaica</t>
  </si>
  <si>
    <t>JAM</t>
  </si>
  <si>
    <t>Jordan</t>
  </si>
  <si>
    <t>JOR</t>
  </si>
  <si>
    <t>Kenya</t>
  </si>
  <si>
    <t>KEN</t>
  </si>
  <si>
    <t>Kyrgyzstan</t>
  </si>
  <si>
    <t>KGZ</t>
  </si>
  <si>
    <t>Lao People's Democratic Republic</t>
  </si>
  <si>
    <t>LAO</t>
  </si>
  <si>
    <t>Lesotho</t>
  </si>
  <si>
    <t>LSO</t>
  </si>
  <si>
    <t>Liberia</t>
  </si>
  <si>
    <t>LBR</t>
  </si>
  <si>
    <t>Libya</t>
  </si>
  <si>
    <t>LBY</t>
  </si>
  <si>
    <t>Madagascar</t>
  </si>
  <si>
    <t>MDG</t>
  </si>
  <si>
    <t>Malawi</t>
  </si>
  <si>
    <t>MWI</t>
  </si>
  <si>
    <t>Mali</t>
  </si>
  <si>
    <t>MLI</t>
  </si>
  <si>
    <t>Mauritius</t>
  </si>
  <si>
    <t>MUS</t>
  </si>
  <si>
    <t>Mongolia</t>
  </si>
  <si>
    <t>MNG</t>
  </si>
  <si>
    <t>Mozambique</t>
  </si>
  <si>
    <t>MOZ</t>
  </si>
  <si>
    <t>Namibia</t>
  </si>
  <si>
    <t>NAM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</si>
  <si>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</si>
  <si>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</si>
  <si>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</si>
  <si>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</si>
  <si>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</si>
  <si>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</si>
  <si>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</si>
  <si>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</si>
  <si>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Pakistan</t>
  </si>
  <si>
    <t>PAK</t>
  </si>
  <si>
    <t>Panama</t>
  </si>
  <si>
    <t>PAN</t>
  </si>
  <si>
    <t>Papua New Guinea</t>
  </si>
  <si>
    <t>PNG</t>
  </si>
  <si>
    <t>Philippines</t>
  </si>
  <si>
    <t>PHL</t>
  </si>
  <si>
    <t>Republic of Moldova</t>
  </si>
  <si>
    <t>MDA</t>
  </si>
  <si>
    <t>Rwanda</t>
  </si>
  <si>
    <t>RWA</t>
  </si>
  <si>
    <t>Sao Tome and Principe</t>
  </si>
  <si>
    <t>STP</t>
  </si>
  <si>
    <t>Senegal</t>
  </si>
  <si>
    <t>SEN</t>
  </si>
  <si>
    <t>Sierra Leone</t>
  </si>
  <si>
    <t>SLE</t>
  </si>
  <si>
    <t>Somalia</t>
  </si>
  <si>
    <t>SOM</t>
  </si>
  <si>
    <t>South Africa</t>
  </si>
  <si>
    <t>ZAF</t>
  </si>
  <si>
    <t>South Sudan</t>
  </si>
  <si>
    <t>SSD</t>
  </si>
  <si>
    <t>Tajikistan</t>
  </si>
  <si>
    <t>TJK</t>
  </si>
  <si>
    <t>Timor-Leste</t>
  </si>
  <si>
    <t>TLS</t>
  </si>
  <si>
    <t>Togo</t>
  </si>
  <si>
    <t>TGO</t>
  </si>
  <si>
    <t>Uganda</t>
  </si>
  <si>
    <t>UGA</t>
  </si>
  <si>
    <t>United Republic of Tanzania</t>
  </si>
  <si>
    <t>TZA</t>
  </si>
  <si>
    <t>Venezuela (Bolivarian Republic of)</t>
  </si>
  <si>
    <t>VEN</t>
  </si>
  <si>
    <t>Viet Nam</t>
  </si>
  <si>
    <t>VNM</t>
  </si>
  <si>
    <t>Zambia</t>
  </si>
  <si>
    <t>ZMB</t>
  </si>
  <si>
    <t>Zimbabwe</t>
  </si>
  <si>
    <t>ZWE</t>
  </si>
  <si>
    <t>Government health spending as % of government spending, all WHO GHED countries (195), 2000-2023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</si>
  <si>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</si>
  <si>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</si>
  <si>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</si>
  <si>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</si>
  <si>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</si>
  <si>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</si>
  <si>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</si>
  <si>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</si>
  <si>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</si>
  <si>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</si>
  <si>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</si>
  <si>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</si>
  <si>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</si>
  <si>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</si>
  <si>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</si>
  <si>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</si>
  <si>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</si>
  <si>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</si>
  <si>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Bahamas</t>
  </si>
  <si>
    <t>BHS</t>
  </si>
  <si>
    <t>Bahrain</t>
  </si>
  <si>
    <t>BHR</t>
  </si>
  <si>
    <t>Barbados</t>
  </si>
  <si>
    <t>BRB</t>
  </si>
  <si>
    <t>Belarus</t>
  </si>
  <si>
    <t>BLR</t>
  </si>
  <si>
    <t>Belgium</t>
  </si>
  <si>
    <t>BEL</t>
  </si>
  <si>
    <t>Bhutan</t>
  </si>
  <si>
    <t>BTN</t>
  </si>
  <si>
    <t>Bosnia and Herzegovina</t>
  </si>
  <si>
    <t>BIH</t>
  </si>
  <si>
    <t>Brazil</t>
  </si>
  <si>
    <t>BRA</t>
  </si>
  <si>
    <t>Brunei Darussalam</t>
  </si>
  <si>
    <t>BRN</t>
  </si>
  <si>
    <t>Bulgaria</t>
  </si>
  <si>
    <t>BGR</t>
  </si>
  <si>
    <t>Cabo Verde</t>
  </si>
  <si>
    <t>CPV</t>
  </si>
  <si>
    <t>Canada</t>
  </si>
  <si>
    <t>CAN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</si>
  <si>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</si>
  <si>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</si>
  <si>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</si>
  <si>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</si>
  <si>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</si>
  <si>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</si>
  <si>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</si>
  <si>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</si>
  <si>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</si>
  <si>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</si>
  <si>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</si>
  <si>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</si>
  <si>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</si>
  <si>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</si>
  <si>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</si>
  <si>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</si>
  <si>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</si>
  <si>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</si>
  <si>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</si>
  <si>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</si>
  <si>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</si>
  <si>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</si>
  <si>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</si>
  <si>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</si>
  <si>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</si>
  <si>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</si>
  <si>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Dominica</t>
  </si>
  <si>
    <t>DMA</t>
  </si>
  <si>
    <t>Ecuador</t>
  </si>
  <si>
    <t>ECU</t>
  </si>
  <si>
    <t>Equatorial Guinea</t>
  </si>
  <si>
    <t>GNQ</t>
  </si>
  <si>
    <t>Eritrea</t>
  </si>
  <si>
    <t>ERI</t>
  </si>
  <si>
    <t>Estonia</t>
  </si>
  <si>
    <t>EST</t>
  </si>
  <si>
    <t>Finland</t>
  </si>
  <si>
    <t>FIN</t>
  </si>
  <si>
    <t>France</t>
  </si>
  <si>
    <t>FRA</t>
  </si>
  <si>
    <t>Gabon</t>
  </si>
  <si>
    <t>GAB</t>
  </si>
  <si>
    <t>Georgia</t>
  </si>
  <si>
    <t>GEO</t>
  </si>
  <si>
    <t>Germany</t>
  </si>
  <si>
    <t>DEU</t>
  </si>
  <si>
    <t>Greece</t>
  </si>
  <si>
    <t>GRC</t>
  </si>
  <si>
    <t>Grenada</t>
  </si>
  <si>
    <t>GRD</t>
  </si>
  <si>
    <t>Guinea-Bissau</t>
  </si>
  <si>
    <t>GNB</t>
  </si>
  <si>
    <t>Hungary</t>
  </si>
  <si>
    <t>HUN</t>
  </si>
  <si>
    <t>Iceland</t>
  </si>
  <si>
    <t>ISL</t>
  </si>
  <si>
    <t>Iran (Islamic Republic of)</t>
  </si>
  <si>
    <t>IRN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</si>
  <si>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</si>
  <si>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</si>
  <si>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</si>
  <si>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</si>
  <si>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</si>
  <si>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</si>
  <si>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</si>
  <si>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</si>
  <si>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</si>
  <si>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</si>
  <si>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Kiribati</t>
  </si>
  <si>
    <t>KIR</t>
  </si>
  <si>
    <t>Kuwait</t>
  </si>
  <si>
    <t>KWT</t>
  </si>
  <si>
    <t>Latvia</t>
  </si>
  <si>
    <t>LVA</t>
  </si>
  <si>
    <t>Lebanon</t>
  </si>
  <si>
    <t>LBN</t>
  </si>
  <si>
    <t>Liechtenstein</t>
  </si>
  <si>
    <t>LIE</t>
  </si>
  <si>
    <t>Lithuania</t>
  </si>
  <si>
    <t>LTU</t>
  </si>
  <si>
    <t>Luxembourg</t>
  </si>
  <si>
    <t>LUX</t>
  </si>
  <si>
    <t>Malaysia</t>
  </si>
  <si>
    <t>MYS</t>
  </si>
  <si>
    <t>Maldives</t>
  </si>
  <si>
    <t>MDV</t>
  </si>
  <si>
    <t>Malta</t>
  </si>
  <si>
    <t>MLT</t>
  </si>
  <si>
    <t>Marshall Islands</t>
  </si>
  <si>
    <t>MHL</t>
  </si>
  <si>
    <t>Mauritania</t>
  </si>
  <si>
    <t>MRT</t>
  </si>
  <si>
    <t>Mexico</t>
  </si>
  <si>
    <t>MEX</t>
  </si>
  <si>
    <t>Micronesia (Federated States of)</t>
  </si>
  <si>
    <t>FSM</t>
  </si>
  <si>
    <t>Monaco</t>
  </si>
  <si>
    <t>MCO</t>
  </si>
  <si>
    <t>Montenegro</t>
  </si>
  <si>
    <t>MNE</t>
  </si>
  <si>
    <t>Morocco</t>
  </si>
  <si>
    <t>MAR</t>
  </si>
  <si>
    <t>Myanmar</t>
  </si>
  <si>
    <t>MMR</t>
  </si>
  <si>
    <t>Nauru</t>
  </si>
  <si>
    <t>NRU</t>
  </si>
  <si>
    <t>Netherlands (Kingdom of the)</t>
  </si>
  <si>
    <t>NLD</t>
  </si>
  <si>
    <t>New Zealand</t>
  </si>
  <si>
    <t>NZL</t>
  </si>
  <si>
    <t>Niue</t>
  </si>
  <si>
    <t>NIU</t>
  </si>
  <si>
    <t>North Macedonia</t>
  </si>
  <si>
    <t>MKD</t>
  </si>
  <si>
    <t>Norway</t>
  </si>
  <si>
    <t>NOR</t>
  </si>
  <si>
    <t>Oman</t>
  </si>
  <si>
    <t>OMN</t>
  </si>
  <si>
    <t>Palau</t>
  </si>
  <si>
    <t>PLW</t>
  </si>
  <si>
    <t>Paraguay</t>
  </si>
  <si>
    <t>PRY</t>
  </si>
  <si>
    <t>Peru</t>
  </si>
  <si>
    <t>PER</t>
  </si>
  <si>
    <t>Poland</t>
  </si>
  <si>
    <t>POL</t>
  </si>
  <si>
    <t>Portugal</t>
  </si>
  <si>
    <t>PRT</t>
  </si>
  <si>
    <t>Qatar</t>
  </si>
  <si>
    <t>QAT</t>
  </si>
  <si>
    <t>Republic of Korea</t>
  </si>
  <si>
    <t>KOR</t>
  </si>
  <si>
    <t>Romania</t>
  </si>
  <si>
    <t>ROU</t>
  </si>
  <si>
    <t>Russian Federation</t>
  </si>
  <si>
    <t>RUS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</si>
  <si>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</si>
  <si>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</si>
  <si>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</si>
  <si>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</si>
  <si>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</si>
  <si>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</si>
  <si>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</si>
  <si>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</si>
  <si>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</si>
  <si>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</si>
  <si>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Saudi Arabia</t>
  </si>
  <si>
    <t>SAU</t>
  </si>
  <si>
    <t>Serbia</t>
  </si>
  <si>
    <t>SRB</t>
  </si>
  <si>
    <t>Seychelles</t>
  </si>
  <si>
    <t>SYC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</si>
  <si>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</si>
  <si>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</si>
  <si>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</si>
  <si>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</si>
  <si>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</si>
  <si>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</si>
  <si>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</si>
  <si>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</si>
  <si>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</si>
  <si>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</si>
  <si>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</si>
  <si>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</si>
  <si>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</si>
  <si>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</si>
  <si>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</si>
  <si>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</si>
  <si>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</si>
  <si>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</si>
  <si>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</si>
  <si>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</si>
  <si>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</si>
  <si>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</si>
  <si>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Thailand</t>
  </si>
  <si>
    <t>THA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</si>
  <si>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</si>
  <si>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</si>
  <si>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</si>
  <si>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</si>
  <si>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</si>
  <si>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</si>
  <si>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</si>
  <si>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</si>
  <si>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</si>
  <si>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</si>
  <si>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Türkiye</t>
  </si>
  <si>
    <t>TUR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</si>
  <si>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</si>
  <si>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</si>
  <si>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</si>
  <si>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</si>
  <si>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</si>
  <si>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</si>
  <si>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</si>
  <si>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</si>
  <si>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</si>
  <si>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</si>
  <si>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</si>
  <si>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</si>
  <si>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</si>
  <si>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</si>
  <si>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Yemen</t>
  </si>
  <si>
    <t>YEM</t>
  </si>
  <si>
    <t>occupied Palestinian territory, including east Jerusalem</t>
  </si>
  <si>
    <t>PSE</t>
  </si>
  <si>
    <t>Government spending by category, % of total outlays (IMF Government Finance Statistics, COFOG), 46 countries, 2005-2025</t>
  </si>
  <si>
    <t>One row per country-year with data. Health = sum of its sub-items (formula). Total should be 100%. WHO Health Share = the GHED figure for the same year from the 'All GHED Countries' sheet, for comparison.</t>
  </si>
  <si>
    <t>Year</t>
  </si>
  <si>
    <t>Coverage</t>
  </si>
  <si>
    <t>General Public Services (excl. Interest)</t>
  </si>
  <si>
    <t>Interest on Public Debt</t>
  </si>
  <si>
    <t>Defence</t>
  </si>
  <si>
    <t>Public Order and Safety</t>
  </si>
  <si>
    <t>Economic Affairs</t>
  </si>
  <si>
    <t>Environmental Protection</t>
  </si>
  <si>
    <t>Housing and Community Amenities</t>
  </si>
  <si>
    <t>Health</t>
  </si>
  <si>
    <t>Recreation, Culture and Religion</t>
  </si>
  <si>
    <t>Education</t>
  </si>
  <si>
    <t>Social Protection</t>
  </si>
  <si>
    <t>Unclassified</t>
  </si>
  <si>
    <t>Total</t>
  </si>
  <si>
    <t>Medical Products</t>
  </si>
  <si>
    <t>Outpatient Services</t>
  </si>
  <si>
    <t>Hospital Services</t>
  </si>
  <si>
    <t>Public Health Services</t>
  </si>
  <si>
    <t>Health R&amp;D</t>
  </si>
  <si>
    <t>Other Health</t>
  </si>
  <si>
    <t>Health (No Breakdown)</t>
  </si>
  <si>
    <t>WHO Health Share (GHED)</t>
  </si>
  <si>
    <t>Central government (budgetary)</t>
  </si>
  <si>
    <t>General government</t>
  </si>
  <si>
    <t>2025</t>
  </si>
  <si>
    <t>Government spending by category, latest year with COFOG data for each country (% of total outlays)</t>
  </si>
  <si>
    <t>Each value is looked up from 'Spending by Category' for the country's latest year (formulas).</t>
  </si>
  <si>
    <t>Notes</t>
  </si>
  <si>
    <t>Indicator</t>
  </si>
  <si>
    <t>Domestic General Government Health Expenditure (GGHE-D) as % of General Government Expenditure (GGE); WHO GHED variable gghed_gge. World Bank WDI SH.XPD.GHED.GE.ZS republishes the same series.</t>
  </si>
  <si>
    <t>Source</t>
  </si>
  <si>
    <t>WHO Global Health Expenditure Database, December 2025 update (data to 2023), downloaded 14 Oct 2026: https://apps.who.int/nha/database (file datasets/WHO_GHED/GHED_data_2026-10-14.xlsx).</t>
  </si>
  <si>
    <t>Countries</t>
  </si>
  <si>
    <t>'Model Countries': the dashboard's 71 countries (country_data/_index.csv). 'All GHED Countries': every country with at least one value. 'MOU 15' marks the 15 countries in the 2027 MOU reallocation.</t>
  </si>
  <si>
    <t>Domestic only</t>
  </si>
  <si>
    <t>Government spending from its own revenue. Donor money, including aid passed through the government budget, is not in the numerator.</t>
  </si>
  <si>
    <t>Grey cells</t>
  </si>
  <si>
    <t>Same value as the year before. Runs of identical values (e.g. 2022 = 2023 in most countries) are probably WHO carrying the last estimate forward, not new data.</t>
  </si>
  <si>
    <t>Latest / Latest Year</t>
  </si>
  <si>
    <t>Last non-blank year in the row and its year (formulas).</t>
  </si>
  <si>
    <t>Abuja target (cell B2 on 'Model Countries', used by both sheets) minus Latest, floored at 0.</t>
  </si>
  <si>
    <t>Differences from the dashboard</t>
  </si>
  <si>
    <t>The dashboard's fiscal panel shows the WDI copy of this series (latest year); its path panel uses an IMF-based share, which can differ (audit item I-14).</t>
  </si>
  <si>
    <t>Spending by Category: source</t>
  </si>
  <si>
    <t>IMF Government Finance Statistics, expenditure by function of government (COFOG), as stored for the dashboard's spending-mix chart in cofog_all/&lt;ISO3&gt;.csv (no raw download is on disk; see build_sections.py). Shares are % of total outlays.</t>
  </si>
  <si>
    <t>Spending by Category: coverage</t>
  </si>
  <si>
    <t>46 countries; years vary by country (some have one year). Model countries with no COFOG data: BEN, BLZ, CIV, COD, DJI, GHA, GMB, GUY, HTI, IRQ, KHM, LAO, LBY, LSO, MLI, MWI, NER, RWA, SEN, SLE, SSD, SWZ, VEN, VNM, ZWE. The level of government varies: 'Central government (budgetary)' leaves out states, local governments and social security funds, so it understates categories run locally (often health and education) and is not comparable with 'General government' rows.</t>
  </si>
  <si>
    <t>Interest</t>
  </si>
  <si>
    <t>Interest on public debt is shown on its own and is not also inside General Public Services (as on the dashboard).</t>
  </si>
  <si>
    <t>Health vs WHO share</t>
  </si>
  <si>
    <t>COFOG health is spending by function from the government budget, and can include donor money that passes through the budget; the WHO (GHED) share counts government money from domestic sources only, for general government. The two can differ a lot; the last column puts them side by side.</t>
  </si>
  <si>
    <t>Sum of the categories; should be 100%. A few country-years add to slightly more (up to 104.8%) in the IMF data; the dashboard rescales those to 100%, this sheet does not.</t>
  </si>
  <si>
    <t>Built by</t>
  </si>
  <si>
    <t>audit/health_share/build_health_share_xlsx.py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</si>
</sst>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C3073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CE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6" fillId="0" borderId="1" xfId="0" applyFont="1" applyBorder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164" fontId="7" fillId="0" borderId="0" xfId="0" applyNumberFormat="1" applyFont="1"/>
    <xf numFmtId="164" fontId="8" fillId="0" borderId="1" xfId="0" applyNumberFormat="1" applyFont="1" applyBorder="1"/>
    <xf numFmtId="164" fontId="9" fillId="0" borderId="1" xfId="0" applyNumberFormat="1" applyFont="1" applyBorder="1"/>
    <xf numFmtId="164" fontId="7" fillId="0" borderId="1" xfId="0" applyNumberFormat="1" applyFont="1" applyBorder="1"/>
    <xf numFmtId="0" fontId="7" fillId="0" borderId="1" xfId="0" applyFont="1" applyBorder="1"/>
    <xf numFmtId="164" fontId="10" fillId="0" borderId="1" xfId="0" applyNumberFormat="1" applyFont="1" applyBorder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5"/>
  <sheetViews>
    <sheetView tabSelected="1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6" customWidth="1"/>
    <col min="3" max="28" width="7" customWidth="1"/>
    <col min="29" max="32" width="12" customWidth="1"/>
  </cols>
  <sheetData>
    <row r="1" spans="1:32" ht="16" x14ac:dyDescent="0.2">
      <c r="A1" s="1" t="s">
        <v>0</v>
      </c>
    </row>
    <row r="2" spans="1:32" x14ac:dyDescent="0.2">
      <c r="A2" s="2" t="s">
        <v>1</v>
      </c>
      <c r="B2" s="3">
        <v>0.15</v>
      </c>
      <c r="C2" s="4" t="s">
        <v>2</v>
      </c>
    </row>
    <row r="4" spans="1:32" ht="30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</row>
    <row r="5" spans="1:32" x14ac:dyDescent="0.2">
      <c r="A5" s="6" t="s">
        <v>35</v>
      </c>
      <c r="B5" s="6" t="s">
        <v>36</v>
      </c>
      <c r="C5" s="6"/>
      <c r="D5" s="7">
        <v>2.73858261E-2</v>
      </c>
      <c r="E5" s="7">
        <v>5.9682545700000013E-2</v>
      </c>
      <c r="F5" s="7">
        <v>4.1912307699999998E-2</v>
      </c>
      <c r="G5" s="7">
        <v>4.2604680099999993E-2</v>
      </c>
      <c r="H5" s="7">
        <v>5.6592388200000003E-2</v>
      </c>
      <c r="I5" s="7">
        <v>4.8206377000000009E-2</v>
      </c>
      <c r="J5" s="7">
        <v>4.7187375999999989E-2</v>
      </c>
      <c r="K5" s="7">
        <v>4.5162711100000003E-2</v>
      </c>
      <c r="L5" s="7">
        <v>4.0603713999999999E-2</v>
      </c>
      <c r="M5" s="7">
        <v>5.7778892500000012E-2</v>
      </c>
      <c r="N5" s="7">
        <v>4.2495679900000007E-2</v>
      </c>
      <c r="O5" s="7">
        <v>4.5805687900000003E-2</v>
      </c>
      <c r="P5" s="7">
        <v>4.2015132900000009E-2</v>
      </c>
      <c r="Q5" s="7">
        <v>4.5754008300000003E-2</v>
      </c>
      <c r="R5" s="7">
        <v>3.6156802199999998E-2</v>
      </c>
      <c r="S5" s="7">
        <v>4.5626254100000013E-2</v>
      </c>
      <c r="T5" s="7">
        <v>5.4326968199999992E-2</v>
      </c>
      <c r="U5" s="7">
        <v>5.3643193200000008E-2</v>
      </c>
      <c r="V5" s="8">
        <v>5.3643193200000008E-2</v>
      </c>
      <c r="W5" s="7">
        <v>5.5068841E-2</v>
      </c>
      <c r="X5" s="7">
        <v>7.3050217600000009E-2</v>
      </c>
      <c r="Y5" s="7">
        <v>8.7773656799999988E-2</v>
      </c>
      <c r="Z5" s="7">
        <v>6.6996350299999993E-2</v>
      </c>
      <c r="AA5" s="7">
        <v>5.8957567200000012E-2</v>
      </c>
      <c r="AB5" s="7"/>
      <c r="AC5" s="9">
        <f t="shared" ref="AC5:AC36" si="0">LOOKUP(9.99E+307,D5:AB5)</f>
        <v>5.8957567200000012E-2</v>
      </c>
      <c r="AD5" s="10" t="str">
        <f t="shared" ref="AD5:AD36" si="1">LOOKUP(9.99E+307,D5:AB5,D$4:AB$4)</f>
        <v>2023</v>
      </c>
      <c r="AE5" s="9">
        <f t="shared" ref="AE5:AE36" si="2">IFERROR(AVERAGE(W5:AB5),"")</f>
        <v>6.8369326580000001E-2</v>
      </c>
      <c r="AF5" s="9">
        <f t="shared" ref="AF5:AF36" si="3">MAX(0,$B$2-AC5)</f>
        <v>9.1042432799999989E-2</v>
      </c>
    </row>
    <row r="6" spans="1:32" x14ac:dyDescent="0.2">
      <c r="A6" s="6" t="s">
        <v>37</v>
      </c>
      <c r="B6" s="6" t="s">
        <v>38</v>
      </c>
      <c r="C6" s="6"/>
      <c r="D6" s="7">
        <v>4.7502903899999997E-2</v>
      </c>
      <c r="E6" s="7">
        <v>4.7982063300000002E-2</v>
      </c>
      <c r="F6" s="7">
        <v>3.1931574300000001E-2</v>
      </c>
      <c r="G6" s="7">
        <v>3.5723514599999999E-2</v>
      </c>
      <c r="H6" s="7">
        <v>3.5575993099999988E-2</v>
      </c>
      <c r="I6" s="7">
        <v>3.959491729999999E-2</v>
      </c>
      <c r="J6" s="7">
        <v>3.4299800399999997E-2</v>
      </c>
      <c r="K6" s="7">
        <v>3.4903397599999997E-2</v>
      </c>
      <c r="L6" s="7">
        <v>2.75191212E-2</v>
      </c>
      <c r="M6" s="7">
        <v>3.2848393899999988E-2</v>
      </c>
      <c r="N6" s="7">
        <v>3.1712610699999991E-2</v>
      </c>
      <c r="O6" s="7">
        <v>2.8160138099999999E-2</v>
      </c>
      <c r="P6" s="7">
        <v>3.0453245600000001E-2</v>
      </c>
      <c r="Q6" s="7">
        <v>2.8222861299999999E-2</v>
      </c>
      <c r="R6" s="7">
        <v>3.1070067900000008E-2</v>
      </c>
      <c r="S6" s="7">
        <v>3.3728263399999993E-2</v>
      </c>
      <c r="T6" s="7">
        <v>3.2898709799999988E-2</v>
      </c>
      <c r="U6" s="7">
        <v>2.823772669999999E-2</v>
      </c>
      <c r="V6" s="7">
        <v>2.6780352600000001E-2</v>
      </c>
      <c r="W6" s="7">
        <v>3.2879271499999987E-2</v>
      </c>
      <c r="X6" s="7">
        <v>5.7977180500000003E-2</v>
      </c>
      <c r="Y6" s="7">
        <v>4.60517836E-2</v>
      </c>
      <c r="Z6" s="7">
        <v>3.6410746599999988E-2</v>
      </c>
      <c r="AA6" s="7">
        <v>4.2580843E-2</v>
      </c>
      <c r="AB6" s="7"/>
      <c r="AC6" s="9">
        <f t="shared" si="0"/>
        <v>4.2580843E-2</v>
      </c>
      <c r="AD6" s="10" t="str">
        <f t="shared" si="1"/>
        <v>2023</v>
      </c>
      <c r="AE6" s="9">
        <f t="shared" si="2"/>
        <v>4.3179965039999997E-2</v>
      </c>
      <c r="AF6" s="9">
        <f t="shared" si="3"/>
        <v>0.10741915699999999</v>
      </c>
    </row>
    <row r="7" spans="1:32" x14ac:dyDescent="0.2">
      <c r="A7" s="6" t="s">
        <v>39</v>
      </c>
      <c r="B7" s="6" t="s">
        <v>40</v>
      </c>
      <c r="C7" s="6"/>
      <c r="D7" s="7">
        <v>5.2114644100000003E-2</v>
      </c>
      <c r="E7" s="7">
        <v>3.5785534399999992E-2</v>
      </c>
      <c r="F7" s="7">
        <v>4.5399312999999997E-2</v>
      </c>
      <c r="G7" s="7">
        <v>4.7553134000000011E-2</v>
      </c>
      <c r="H7" s="7">
        <v>4.8652663200000008E-2</v>
      </c>
      <c r="I7" s="7">
        <v>4.38883734E-2</v>
      </c>
      <c r="J7" s="7">
        <v>4.7282032999999987E-2</v>
      </c>
      <c r="K7" s="7">
        <v>5.07518816E-2</v>
      </c>
      <c r="L7" s="7">
        <v>3.84091425E-2</v>
      </c>
      <c r="M7" s="7">
        <v>4.1153383300000013E-2</v>
      </c>
      <c r="N7" s="7">
        <v>4.4394164099999987E-2</v>
      </c>
      <c r="O7" s="7">
        <v>4.1815910300000009E-2</v>
      </c>
      <c r="P7" s="7">
        <v>4.0162043600000003E-2</v>
      </c>
      <c r="Q7" s="7">
        <v>3.6174552399999997E-2</v>
      </c>
      <c r="R7" s="7">
        <v>3.59245324E-2</v>
      </c>
      <c r="S7" s="7">
        <v>3.376888749999999E-2</v>
      </c>
      <c r="T7" s="7">
        <v>4.0993580799999998E-2</v>
      </c>
      <c r="U7" s="7">
        <v>4.1070523300000002E-2</v>
      </c>
      <c r="V7" s="7">
        <v>3.7503542899999999E-2</v>
      </c>
      <c r="W7" s="7">
        <v>2.66421318E-2</v>
      </c>
      <c r="X7" s="7">
        <v>2.6732916799999999E-2</v>
      </c>
      <c r="Y7" s="7">
        <v>3.004254340000001E-2</v>
      </c>
      <c r="Z7" s="7">
        <v>2.6232760000000001E-2</v>
      </c>
      <c r="AA7" s="7">
        <v>2.4716196100000011E-2</v>
      </c>
      <c r="AB7" s="7"/>
      <c r="AC7" s="9">
        <f t="shared" si="0"/>
        <v>2.4716196100000011E-2</v>
      </c>
      <c r="AD7" s="10" t="str">
        <f t="shared" si="1"/>
        <v>2023</v>
      </c>
      <c r="AE7" s="9">
        <f t="shared" si="2"/>
        <v>2.6873309620000001E-2</v>
      </c>
      <c r="AF7" s="9">
        <f t="shared" si="3"/>
        <v>0.12528380389999999</v>
      </c>
    </row>
    <row r="8" spans="1:32" x14ac:dyDescent="0.2">
      <c r="A8" s="6" t="s">
        <v>41</v>
      </c>
      <c r="B8" s="6" t="s">
        <v>42</v>
      </c>
      <c r="C8" s="6"/>
      <c r="D8" s="7">
        <v>5.8475780499999998E-2</v>
      </c>
      <c r="E8" s="7">
        <v>6.8270482999999993E-2</v>
      </c>
      <c r="F8" s="7">
        <v>7.5145411499999995E-2</v>
      </c>
      <c r="G8" s="7">
        <v>7.1356830600000004E-2</v>
      </c>
      <c r="H8" s="7">
        <v>7.8819284400000009E-2</v>
      </c>
      <c r="I8" s="7">
        <v>8.3321723900000019E-2</v>
      </c>
      <c r="J8" s="7">
        <v>9.3324451400000008E-2</v>
      </c>
      <c r="K8" s="7">
        <v>0.1076810741</v>
      </c>
      <c r="L8" s="7">
        <v>0.1338402843</v>
      </c>
      <c r="M8" s="7">
        <v>0.1248273087</v>
      </c>
      <c r="N8" s="7">
        <v>0.12763880729999999</v>
      </c>
      <c r="O8" s="7">
        <v>0.1269621658</v>
      </c>
      <c r="P8" s="7">
        <v>0.12936385149999999</v>
      </c>
      <c r="Q8" s="7">
        <v>0.12273202900000001</v>
      </c>
      <c r="R8" s="7">
        <v>0.12234224320000001</v>
      </c>
      <c r="S8" s="7">
        <v>0.1134556484</v>
      </c>
      <c r="T8" s="7">
        <v>0.1211457348</v>
      </c>
      <c r="U8" s="7">
        <v>0.116249609</v>
      </c>
      <c r="V8" s="7">
        <v>0.12209848399999999</v>
      </c>
      <c r="W8" s="7">
        <v>0.1207653427</v>
      </c>
      <c r="X8" s="7">
        <v>0.1143843937</v>
      </c>
      <c r="Y8" s="7">
        <v>0.1361467361</v>
      </c>
      <c r="Z8" s="7">
        <v>0.1144796753</v>
      </c>
      <c r="AA8" s="7">
        <v>0.10877460479999999</v>
      </c>
      <c r="AB8" s="7"/>
      <c r="AC8" s="9">
        <f t="shared" si="0"/>
        <v>0.10877460479999999</v>
      </c>
      <c r="AD8" s="10" t="str">
        <f t="shared" si="1"/>
        <v>2023</v>
      </c>
      <c r="AE8" s="9">
        <f t="shared" si="2"/>
        <v>0.11891015052000001</v>
      </c>
      <c r="AF8" s="9">
        <f t="shared" si="3"/>
        <v>4.1225395200000001E-2</v>
      </c>
    </row>
    <row r="9" spans="1:32" x14ac:dyDescent="0.2">
      <c r="A9" s="6" t="s">
        <v>43</v>
      </c>
      <c r="B9" s="6" t="s">
        <v>44</v>
      </c>
      <c r="C9" s="6"/>
      <c r="D9" s="7">
        <v>7.2511076899999999E-2</v>
      </c>
      <c r="E9" s="7">
        <v>7.7723507900000016E-2</v>
      </c>
      <c r="F9" s="7">
        <v>6.1315412499999999E-2</v>
      </c>
      <c r="G9" s="7">
        <v>7.6892032600000007E-2</v>
      </c>
      <c r="H9" s="7">
        <v>8.6366128900000005E-2</v>
      </c>
      <c r="I9" s="7">
        <v>7.4113364200000004E-2</v>
      </c>
      <c r="J9" s="7">
        <v>8.1737995100000002E-2</v>
      </c>
      <c r="K9" s="7">
        <v>6.0395412400000008E-2</v>
      </c>
      <c r="L9" s="7">
        <v>5.1033644700000012E-2</v>
      </c>
      <c r="M9" s="7">
        <v>5.1059412999999998E-2</v>
      </c>
      <c r="N9" s="7">
        <v>5.3446040200000003E-2</v>
      </c>
      <c r="O9" s="7">
        <v>4.4236145000000011E-2</v>
      </c>
      <c r="P9" s="7">
        <v>5.2463355099999998E-2</v>
      </c>
      <c r="Q9" s="7">
        <v>5.1338047999999997E-2</v>
      </c>
      <c r="R9" s="7">
        <v>4.0445923799999998E-2</v>
      </c>
      <c r="S9" s="7">
        <v>3.2547800500000008E-2</v>
      </c>
      <c r="T9" s="7">
        <v>4.6273145699999997E-2</v>
      </c>
      <c r="U9" s="7">
        <v>3.9717438200000003E-2</v>
      </c>
      <c r="V9" s="7">
        <v>4.0243492099999993E-2</v>
      </c>
      <c r="W9" s="7">
        <v>3.1248140300000001E-2</v>
      </c>
      <c r="X9" s="7">
        <v>2.6806235299999991E-2</v>
      </c>
      <c r="Y9" s="7">
        <v>1.6808979500000001E-2</v>
      </c>
      <c r="Z9" s="7">
        <v>2.55340433E-2</v>
      </c>
      <c r="AA9" s="8">
        <v>2.55340433E-2</v>
      </c>
      <c r="AB9" s="7"/>
      <c r="AC9" s="9">
        <f t="shared" si="0"/>
        <v>2.55340433E-2</v>
      </c>
      <c r="AD9" s="10" t="str">
        <f t="shared" si="1"/>
        <v>2023</v>
      </c>
      <c r="AE9" s="9">
        <f t="shared" si="2"/>
        <v>2.5186288340000001E-2</v>
      </c>
      <c r="AF9" s="9">
        <f t="shared" si="3"/>
        <v>0.12446595669999999</v>
      </c>
    </row>
    <row r="10" spans="1:32" x14ac:dyDescent="0.2">
      <c r="A10" s="6" t="s">
        <v>45</v>
      </c>
      <c r="B10" s="6" t="s">
        <v>46</v>
      </c>
      <c r="C10" s="6"/>
      <c r="D10" s="7">
        <v>8.2959833100000005E-2</v>
      </c>
      <c r="E10" s="7">
        <v>8.1801204700000005E-2</v>
      </c>
      <c r="F10" s="7">
        <v>7.8159523000000009E-2</v>
      </c>
      <c r="G10" s="7">
        <v>8.6116819400000003E-2</v>
      </c>
      <c r="H10" s="7">
        <v>7.8391628300000016E-2</v>
      </c>
      <c r="I10" s="7">
        <v>8.298798559999998E-2</v>
      </c>
      <c r="J10" s="7">
        <v>8.7520017599999986E-2</v>
      </c>
      <c r="K10" s="7">
        <v>8.5002489099999995E-2</v>
      </c>
      <c r="L10" s="7">
        <v>7.6468911200000017E-2</v>
      </c>
      <c r="M10" s="7">
        <v>9.5118818300000005E-2</v>
      </c>
      <c r="N10" s="7">
        <v>9.7059020999999995E-2</v>
      </c>
      <c r="O10" s="7">
        <v>8.5434141200000008E-2</v>
      </c>
      <c r="P10" s="7">
        <v>8.3143749199999964E-2</v>
      </c>
      <c r="Q10" s="7">
        <v>9.2054643599999986E-2</v>
      </c>
      <c r="R10" s="7">
        <v>8.952018740000002E-2</v>
      </c>
      <c r="S10" s="7">
        <v>9.6743507399999998E-2</v>
      </c>
      <c r="T10" s="7">
        <v>0.1107505703</v>
      </c>
      <c r="U10" s="7">
        <v>0.11510429379999999</v>
      </c>
      <c r="V10" s="7">
        <v>0.1272148514</v>
      </c>
      <c r="W10" s="7">
        <v>0.1354663086</v>
      </c>
      <c r="X10" s="7">
        <v>0.15777553559999999</v>
      </c>
      <c r="Y10" s="7">
        <v>0.16919799799999999</v>
      </c>
      <c r="Z10" s="7">
        <v>0.12820346830000001</v>
      </c>
      <c r="AA10" s="7">
        <v>0.1202977371</v>
      </c>
      <c r="AB10" s="7"/>
      <c r="AC10" s="9">
        <f t="shared" si="0"/>
        <v>0.1202977371</v>
      </c>
      <c r="AD10" s="10" t="str">
        <f t="shared" si="1"/>
        <v>2023</v>
      </c>
      <c r="AE10" s="9">
        <f t="shared" si="2"/>
        <v>0.14218820952</v>
      </c>
      <c r="AF10" s="9">
        <f t="shared" si="3"/>
        <v>2.9702262899999998E-2</v>
      </c>
    </row>
    <row r="11" spans="1:32" x14ac:dyDescent="0.2">
      <c r="A11" s="6" t="s">
        <v>47</v>
      </c>
      <c r="B11" s="6" t="s">
        <v>48</v>
      </c>
      <c r="C11" s="6" t="s">
        <v>49</v>
      </c>
      <c r="D11" s="7">
        <v>8.1782970400000016E-2</v>
      </c>
      <c r="E11" s="8">
        <v>8.1782970400000016E-2</v>
      </c>
      <c r="F11" s="8">
        <v>8.1782970400000016E-2</v>
      </c>
      <c r="G11" s="8">
        <v>8.1782970400000016E-2</v>
      </c>
      <c r="H11" s="8">
        <v>8.1782970400000016E-2</v>
      </c>
      <c r="I11" s="8">
        <v>8.1782970400000016E-2</v>
      </c>
      <c r="J11" s="8">
        <v>8.1782970400000016E-2</v>
      </c>
      <c r="K11" s="8">
        <v>8.1782970400000016E-2</v>
      </c>
      <c r="L11" s="7">
        <v>7.6448068600000002E-2</v>
      </c>
      <c r="M11" s="7">
        <v>6.2520623200000014E-2</v>
      </c>
      <c r="N11" s="7">
        <v>8.0609350200000027E-2</v>
      </c>
      <c r="O11" s="7">
        <v>9.6322517399999988E-2</v>
      </c>
      <c r="P11" s="7">
        <v>0.1068447876</v>
      </c>
      <c r="Q11" s="7">
        <v>0.1193448162</v>
      </c>
      <c r="R11" s="7">
        <v>0.1095858192</v>
      </c>
      <c r="S11" s="7">
        <v>0.10415887829999999</v>
      </c>
      <c r="T11" s="7">
        <v>0.1121129513</v>
      </c>
      <c r="U11" s="7">
        <v>0.14315474510000001</v>
      </c>
      <c r="V11" s="7">
        <v>0.1154210281</v>
      </c>
      <c r="W11" s="7">
        <v>0.12006065370000001</v>
      </c>
      <c r="X11" s="7">
        <v>0.11661524769999999</v>
      </c>
      <c r="Y11" s="7">
        <v>0.14610138889999999</v>
      </c>
      <c r="Z11" s="8">
        <v>0.14610138889999999</v>
      </c>
      <c r="AA11" s="8">
        <v>0.14610138889999999</v>
      </c>
      <c r="AB11" s="7"/>
      <c r="AC11" s="9">
        <f t="shared" si="0"/>
        <v>0.14610138889999999</v>
      </c>
      <c r="AD11" s="10" t="str">
        <f t="shared" si="1"/>
        <v>2023</v>
      </c>
      <c r="AE11" s="9">
        <f t="shared" si="2"/>
        <v>0.13499601361999999</v>
      </c>
      <c r="AF11" s="9">
        <f t="shared" si="3"/>
        <v>3.8986111000000045E-3</v>
      </c>
    </row>
    <row r="12" spans="1:32" x14ac:dyDescent="0.2">
      <c r="A12" s="6" t="s">
        <v>50</v>
      </c>
      <c r="B12" s="6" t="s">
        <v>51</v>
      </c>
      <c r="C12" s="6"/>
      <c r="D12" s="7">
        <v>4.8483686399999983E-2</v>
      </c>
      <c r="E12" s="7">
        <v>4.9421768200000007E-2</v>
      </c>
      <c r="F12" s="7">
        <v>5.4349312799999987E-2</v>
      </c>
      <c r="G12" s="7">
        <v>5.5697293299999992E-2</v>
      </c>
      <c r="H12" s="7">
        <v>8.3909988399999996E-2</v>
      </c>
      <c r="I12" s="7">
        <v>6.0486402500000008E-2</v>
      </c>
      <c r="J12" s="7">
        <v>6.5406885099999992E-2</v>
      </c>
      <c r="K12" s="7">
        <v>6.2706828100000014E-2</v>
      </c>
      <c r="L12" s="7">
        <v>7.3215260500000004E-2</v>
      </c>
      <c r="M12" s="7">
        <v>7.629394049999999E-2</v>
      </c>
      <c r="N12" s="7">
        <v>6.0323524500000003E-2</v>
      </c>
      <c r="O12" s="7">
        <v>6.5873937599999988E-2</v>
      </c>
      <c r="P12" s="7">
        <v>4.6960587499999998E-2</v>
      </c>
      <c r="Q12" s="7">
        <v>6.3829321899999986E-2</v>
      </c>
      <c r="R12" s="7">
        <v>7.77367115E-2</v>
      </c>
      <c r="S12" s="7">
        <v>7.1526417699999997E-2</v>
      </c>
      <c r="T12" s="7">
        <v>0.1103399372</v>
      </c>
      <c r="U12" s="7">
        <v>0.102352047</v>
      </c>
      <c r="V12" s="7">
        <v>8.7850236900000003E-2</v>
      </c>
      <c r="W12" s="7">
        <v>9.5769109700000021E-2</v>
      </c>
      <c r="X12" s="7">
        <v>0.1164750004</v>
      </c>
      <c r="Y12" s="7">
        <v>9.8384151499999989E-2</v>
      </c>
      <c r="Z12" s="7">
        <v>8.3968486799999992E-2</v>
      </c>
      <c r="AA12" s="7">
        <v>8.7753620099999999E-2</v>
      </c>
      <c r="AB12" s="7"/>
      <c r="AC12" s="9">
        <f t="shared" si="0"/>
        <v>8.7753620099999999E-2</v>
      </c>
      <c r="AD12" s="10" t="str">
        <f t="shared" si="1"/>
        <v>2023</v>
      </c>
      <c r="AE12" s="9">
        <f t="shared" si="2"/>
        <v>9.6470073700000006E-2</v>
      </c>
      <c r="AF12" s="9">
        <f t="shared" si="3"/>
        <v>6.2246379899999996E-2</v>
      </c>
    </row>
    <row r="13" spans="1:32" x14ac:dyDescent="0.2">
      <c r="A13" s="6" t="s">
        <v>52</v>
      </c>
      <c r="B13" s="6" t="s">
        <v>53</v>
      </c>
      <c r="C13" s="6" t="s">
        <v>49</v>
      </c>
      <c r="D13" s="7">
        <v>5.9445400200000019E-2</v>
      </c>
      <c r="E13" s="7">
        <v>6.6626386600000004E-2</v>
      </c>
      <c r="F13" s="7">
        <v>6.3795781100000004E-2</v>
      </c>
      <c r="G13" s="7">
        <v>3.7158155399999997E-2</v>
      </c>
      <c r="H13" s="7">
        <v>5.8038430199999998E-2</v>
      </c>
      <c r="I13" s="7">
        <v>6.2231040000000008E-2</v>
      </c>
      <c r="J13" s="7">
        <v>6.4814195600000013E-2</v>
      </c>
      <c r="K13" s="7">
        <v>6.3231558800000004E-2</v>
      </c>
      <c r="L13" s="7">
        <v>3.7877473799999999E-2</v>
      </c>
      <c r="M13" s="7">
        <v>5.4775237999999997E-2</v>
      </c>
      <c r="N13" s="7">
        <v>4.8606638899999999E-2</v>
      </c>
      <c r="O13" s="7">
        <v>8.2279138599999968E-2</v>
      </c>
      <c r="P13" s="7">
        <v>7.1102819400000017E-2</v>
      </c>
      <c r="Q13" s="7">
        <v>4.4317016600000002E-2</v>
      </c>
      <c r="R13" s="7">
        <v>9.79248333E-2</v>
      </c>
      <c r="S13" s="7">
        <v>0.1044351768</v>
      </c>
      <c r="T13" s="7">
        <v>9.904492379999999E-2</v>
      </c>
      <c r="U13" s="7">
        <v>8.3575859099999969E-2</v>
      </c>
      <c r="V13" s="7">
        <v>7.9078621900000007E-2</v>
      </c>
      <c r="W13" s="8">
        <v>7.9078621900000007E-2</v>
      </c>
      <c r="X13" s="7">
        <v>7.332878109999999E-2</v>
      </c>
      <c r="Y13" s="8">
        <v>7.332878109999999E-2</v>
      </c>
      <c r="Z13" s="7">
        <v>4.7289733899999999E-2</v>
      </c>
      <c r="AA13" s="8">
        <v>4.7289733899999999E-2</v>
      </c>
      <c r="AB13" s="7"/>
      <c r="AC13" s="9">
        <f t="shared" si="0"/>
        <v>4.7289733899999999E-2</v>
      </c>
      <c r="AD13" s="10" t="str">
        <f t="shared" si="1"/>
        <v>2023</v>
      </c>
      <c r="AE13" s="9">
        <f t="shared" si="2"/>
        <v>6.406313038E-2</v>
      </c>
      <c r="AF13" s="9">
        <f t="shared" si="3"/>
        <v>0.1027102661</v>
      </c>
    </row>
    <row r="14" spans="1:32" x14ac:dyDescent="0.2">
      <c r="A14" s="6" t="s">
        <v>54</v>
      </c>
      <c r="B14" s="6" t="s">
        <v>55</v>
      </c>
      <c r="C14" s="6"/>
      <c r="D14" s="7">
        <v>8.5917358399999977E-2</v>
      </c>
      <c r="E14" s="7">
        <v>7.8303179700000017E-2</v>
      </c>
      <c r="F14" s="7">
        <v>8.2978315400000002E-2</v>
      </c>
      <c r="G14" s="7">
        <v>9.4304418599999995E-2</v>
      </c>
      <c r="H14" s="7">
        <v>9.9010906200000012E-2</v>
      </c>
      <c r="I14" s="7">
        <v>9.8973665200000005E-2</v>
      </c>
      <c r="J14" s="7">
        <v>7.4111046799999997E-2</v>
      </c>
      <c r="K14" s="7">
        <v>6.7482747999999995E-2</v>
      </c>
      <c r="L14" s="7">
        <v>6.6590457000000006E-2</v>
      </c>
      <c r="M14" s="7">
        <v>5.9676833200000008E-2</v>
      </c>
      <c r="N14" s="7">
        <v>6.5196423500000003E-2</v>
      </c>
      <c r="O14" s="7">
        <v>6.2146067599999993E-2</v>
      </c>
      <c r="P14" s="7">
        <v>6.3306508099999992E-2</v>
      </c>
      <c r="Q14" s="7">
        <v>6.7916836699999997E-2</v>
      </c>
      <c r="R14" s="7">
        <v>6.1677031499999993E-2</v>
      </c>
      <c r="S14" s="7">
        <v>6.9401135400000008E-2</v>
      </c>
      <c r="T14" s="7">
        <v>6.8482499099999983E-2</v>
      </c>
      <c r="U14" s="7">
        <v>6.9959144599999967E-2</v>
      </c>
      <c r="V14" s="7">
        <v>7.5233430899999995E-2</v>
      </c>
      <c r="W14" s="7">
        <v>6.9910354599999988E-2</v>
      </c>
      <c r="X14" s="7">
        <v>6.8979673399999997E-2</v>
      </c>
      <c r="Y14" s="7">
        <v>0.14310492520000001</v>
      </c>
      <c r="Z14" s="7">
        <v>6.4150881800000004E-2</v>
      </c>
      <c r="AA14" s="7">
        <v>6.6474256499999995E-2</v>
      </c>
      <c r="AB14" s="7"/>
      <c r="AC14" s="9">
        <f t="shared" si="0"/>
        <v>6.6474256499999995E-2</v>
      </c>
      <c r="AD14" s="10" t="str">
        <f t="shared" si="1"/>
        <v>2023</v>
      </c>
      <c r="AE14" s="9">
        <f t="shared" si="2"/>
        <v>8.2524018300000002E-2</v>
      </c>
      <c r="AF14" s="9">
        <f t="shared" si="3"/>
        <v>8.3525743499999999E-2</v>
      </c>
    </row>
    <row r="15" spans="1:32" x14ac:dyDescent="0.2">
      <c r="A15" s="6" t="s">
        <v>56</v>
      </c>
      <c r="B15" s="6" t="s">
        <v>57</v>
      </c>
      <c r="C15" s="6" t="s">
        <v>49</v>
      </c>
      <c r="D15" s="7">
        <v>4.42626905E-2</v>
      </c>
      <c r="E15" s="7">
        <v>5.34374762E-2</v>
      </c>
      <c r="F15" s="7">
        <v>6.4329853100000015E-2</v>
      </c>
      <c r="G15" s="7">
        <v>6.5153770400000019E-2</v>
      </c>
      <c r="H15" s="7">
        <v>5.2618336699999997E-2</v>
      </c>
      <c r="I15" s="7">
        <v>5.2474880199999997E-2</v>
      </c>
      <c r="J15" s="7">
        <v>5.1831469499999998E-2</v>
      </c>
      <c r="K15" s="7">
        <v>4.2260818499999991E-2</v>
      </c>
      <c r="L15" s="7">
        <v>3.4610514600000003E-2</v>
      </c>
      <c r="M15" s="7">
        <v>3.04738736E-2</v>
      </c>
      <c r="N15" s="7">
        <v>2.67579794E-2</v>
      </c>
      <c r="O15" s="7">
        <v>3.2104811699999999E-2</v>
      </c>
      <c r="P15" s="7">
        <v>3.731803420000001E-2</v>
      </c>
      <c r="Q15" s="7">
        <v>2.5009560600000001E-2</v>
      </c>
      <c r="R15" s="7">
        <v>2.9397316E-2</v>
      </c>
      <c r="S15" s="7">
        <v>1.8129396400000001E-2</v>
      </c>
      <c r="T15" s="8">
        <v>1.8129396400000001E-2</v>
      </c>
      <c r="U15" s="7">
        <v>7.3440902999999998E-3</v>
      </c>
      <c r="V15" s="7">
        <v>1.95703375E-2</v>
      </c>
      <c r="W15" s="7">
        <v>2.17985916E-2</v>
      </c>
      <c r="X15" s="7">
        <v>3.6595056100000002E-2</v>
      </c>
      <c r="Y15" s="7">
        <v>2.8629238599999999E-2</v>
      </c>
      <c r="Z15" s="7">
        <v>3.91280055E-2</v>
      </c>
      <c r="AA15" s="8">
        <v>3.91280055E-2</v>
      </c>
      <c r="AB15" s="7"/>
      <c r="AC15" s="9">
        <f t="shared" si="0"/>
        <v>3.91280055E-2</v>
      </c>
      <c r="AD15" s="10" t="str">
        <f t="shared" si="1"/>
        <v>2023</v>
      </c>
      <c r="AE15" s="9">
        <f t="shared" si="2"/>
        <v>3.3055779460000004E-2</v>
      </c>
      <c r="AF15" s="9">
        <f t="shared" si="3"/>
        <v>0.11087199449999999</v>
      </c>
    </row>
    <row r="16" spans="1:32" x14ac:dyDescent="0.2">
      <c r="A16" s="6" t="s">
        <v>58</v>
      </c>
      <c r="B16" s="6" t="s">
        <v>59</v>
      </c>
      <c r="C16" s="6"/>
      <c r="D16" s="7">
        <v>0.1002161694</v>
      </c>
      <c r="E16" s="7">
        <v>0.10725757599999999</v>
      </c>
      <c r="F16" s="7">
        <v>8.6075210599999993E-2</v>
      </c>
      <c r="G16" s="7">
        <v>0.12548629759999999</v>
      </c>
      <c r="H16" s="7">
        <v>0.1127606392</v>
      </c>
      <c r="I16" s="7">
        <v>6.4003949199999993E-2</v>
      </c>
      <c r="J16" s="7">
        <v>9.177922249999998E-2</v>
      </c>
      <c r="K16" s="7">
        <v>9.8746585799999981E-2</v>
      </c>
      <c r="L16" s="7">
        <v>5.2834930400000001E-2</v>
      </c>
      <c r="M16" s="7">
        <v>4.57543802E-2</v>
      </c>
      <c r="N16" s="7">
        <v>3.3414733399999987E-2</v>
      </c>
      <c r="O16" s="7">
        <v>2.9325563900000001E-2</v>
      </c>
      <c r="P16" s="7">
        <v>4.2233171500000007E-2</v>
      </c>
      <c r="Q16" s="7">
        <v>7.3451528499999974E-2</v>
      </c>
      <c r="R16" s="7">
        <v>3.9467859299999998E-2</v>
      </c>
      <c r="S16" s="7">
        <v>3.2645256499999997E-2</v>
      </c>
      <c r="T16" s="7">
        <v>4.9471330600000002E-2</v>
      </c>
      <c r="U16" s="7">
        <v>5.2599773399999987E-2</v>
      </c>
      <c r="V16" s="7">
        <v>3.9108746100000008E-2</v>
      </c>
      <c r="W16" s="7">
        <v>4.8423175800000023E-2</v>
      </c>
      <c r="X16" s="7">
        <v>4.8644204100000012E-2</v>
      </c>
      <c r="Y16" s="7">
        <v>6.4207348800000008E-2</v>
      </c>
      <c r="Z16" s="7">
        <v>8.4761972399999996E-2</v>
      </c>
      <c r="AA16" s="8">
        <v>8.4761972399999996E-2</v>
      </c>
      <c r="AB16" s="7"/>
      <c r="AC16" s="9">
        <f t="shared" si="0"/>
        <v>8.4761972399999996E-2</v>
      </c>
      <c r="AD16" s="10" t="str">
        <f t="shared" si="1"/>
        <v>2023</v>
      </c>
      <c r="AE16" s="9">
        <f t="shared" si="2"/>
        <v>6.61597347E-2</v>
      </c>
      <c r="AF16" s="9">
        <f t="shared" si="3"/>
        <v>6.5238027599999998E-2</v>
      </c>
    </row>
    <row r="17" spans="1:32" x14ac:dyDescent="0.2">
      <c r="A17" s="6" t="s">
        <v>60</v>
      </c>
      <c r="B17" s="6" t="s">
        <v>61</v>
      </c>
      <c r="C17" s="6"/>
      <c r="D17" s="7">
        <v>4.5575985899999998E-2</v>
      </c>
      <c r="E17" s="7">
        <v>4.4565472599999989E-2</v>
      </c>
      <c r="F17" s="7">
        <v>4.1479587599999999E-2</v>
      </c>
      <c r="G17" s="7">
        <v>4.0670871700000007E-2</v>
      </c>
      <c r="H17" s="7">
        <v>4.1451525700000012E-2</v>
      </c>
      <c r="I17" s="7">
        <v>3.8913488399999988E-2</v>
      </c>
      <c r="J17" s="7">
        <v>3.8571844100000009E-2</v>
      </c>
      <c r="K17" s="7">
        <v>4.5792217299999993E-2</v>
      </c>
      <c r="L17" s="7">
        <v>4.6578812600000012E-2</v>
      </c>
      <c r="M17" s="7">
        <v>5.8213243499999991E-2</v>
      </c>
      <c r="N17" s="7">
        <v>5.8067884399999992E-2</v>
      </c>
      <c r="O17" s="7">
        <v>4.3936924899999993E-2</v>
      </c>
      <c r="P17" s="7">
        <v>4.6220030800000013E-2</v>
      </c>
      <c r="Q17" s="7">
        <v>4.5898828500000002E-2</v>
      </c>
      <c r="R17" s="7">
        <v>5.1112542200000007E-2</v>
      </c>
      <c r="S17" s="7">
        <v>4.8747077E-2</v>
      </c>
      <c r="T17" s="7">
        <v>4.8519926100000013E-2</v>
      </c>
      <c r="U17" s="7">
        <v>5.15028763E-2</v>
      </c>
      <c r="V17" s="7">
        <v>5.1172766699999997E-2</v>
      </c>
      <c r="W17" s="7">
        <v>5.6012759199999991E-2</v>
      </c>
      <c r="X17" s="7">
        <v>6.5383529699999998E-2</v>
      </c>
      <c r="Y17" s="7">
        <v>7.7738952599999994E-2</v>
      </c>
      <c r="Z17" s="7">
        <v>6.8222360599999976E-2</v>
      </c>
      <c r="AA17" s="7">
        <v>6.5832047500000004E-2</v>
      </c>
      <c r="AB17" s="7"/>
      <c r="AC17" s="9">
        <f t="shared" si="0"/>
        <v>6.5832047500000004E-2</v>
      </c>
      <c r="AD17" s="10" t="str">
        <f t="shared" si="1"/>
        <v>2023</v>
      </c>
      <c r="AE17" s="9">
        <f t="shared" si="2"/>
        <v>6.6637929919999978E-2</v>
      </c>
      <c r="AF17" s="9">
        <f t="shared" si="3"/>
        <v>8.416795249999999E-2</v>
      </c>
    </row>
    <row r="18" spans="1:32" x14ac:dyDescent="0.2">
      <c r="A18" s="6" t="s">
        <v>62</v>
      </c>
      <c r="B18" s="6" t="s">
        <v>63</v>
      </c>
      <c r="C18" s="6"/>
      <c r="D18" s="7">
        <v>2.4989526299999999E-2</v>
      </c>
      <c r="E18" s="8">
        <v>2.4989526299999999E-2</v>
      </c>
      <c r="F18" s="8">
        <v>2.4989526299999999E-2</v>
      </c>
      <c r="G18" s="8">
        <v>2.4989526299999999E-2</v>
      </c>
      <c r="H18" s="8">
        <v>2.4989526299999999E-2</v>
      </c>
      <c r="I18" s="8">
        <v>2.4989526299999999E-2</v>
      </c>
      <c r="J18" s="8">
        <v>2.4989526299999999E-2</v>
      </c>
      <c r="K18" s="8">
        <v>2.4989526299999999E-2</v>
      </c>
      <c r="L18" s="8">
        <v>2.4989526299999999E-2</v>
      </c>
      <c r="M18" s="8">
        <v>2.4989526299999999E-2</v>
      </c>
      <c r="N18" s="8">
        <v>2.4989526299999999E-2</v>
      </c>
      <c r="O18" s="7">
        <v>2.5320143699999999E-2</v>
      </c>
      <c r="P18" s="7">
        <v>3.8775920899999997E-2</v>
      </c>
      <c r="Q18" s="7">
        <v>3.9094405199999988E-2</v>
      </c>
      <c r="R18" s="7">
        <v>3.9867942299999987E-2</v>
      </c>
      <c r="S18" s="7">
        <v>4.1041536300000001E-2</v>
      </c>
      <c r="T18" s="7">
        <v>3.8077349699999999E-2</v>
      </c>
      <c r="U18" s="7">
        <v>3.8418848500000012E-2</v>
      </c>
      <c r="V18" s="7">
        <v>4.1669411699999992E-2</v>
      </c>
      <c r="W18" s="7">
        <v>4.1286587700000002E-2</v>
      </c>
      <c r="X18" s="7">
        <v>5.0872473699999997E-2</v>
      </c>
      <c r="Y18" s="7">
        <v>4.5126462000000013E-2</v>
      </c>
      <c r="Z18" s="7">
        <v>3.9843409099999998E-2</v>
      </c>
      <c r="AA18" s="7">
        <v>4.0007190700000007E-2</v>
      </c>
      <c r="AB18" s="7"/>
      <c r="AC18" s="9">
        <f t="shared" si="0"/>
        <v>4.0007190700000007E-2</v>
      </c>
      <c r="AD18" s="10" t="str">
        <f t="shared" si="1"/>
        <v>2023</v>
      </c>
      <c r="AE18" s="9">
        <f t="shared" si="2"/>
        <v>4.3427224639999998E-2</v>
      </c>
      <c r="AF18" s="9">
        <f t="shared" si="3"/>
        <v>0.10999280929999999</v>
      </c>
    </row>
    <row r="19" spans="1:32" x14ac:dyDescent="0.2">
      <c r="A19" s="6" t="s">
        <v>64</v>
      </c>
      <c r="B19" s="6" t="s">
        <v>65</v>
      </c>
      <c r="C19" s="6"/>
      <c r="D19" s="7">
        <v>6.07547617E-2</v>
      </c>
      <c r="E19" s="7">
        <v>5.9684047700000013E-2</v>
      </c>
      <c r="F19" s="7">
        <v>5.4956359900000008E-2</v>
      </c>
      <c r="G19" s="7">
        <v>5.8153071399999992E-2</v>
      </c>
      <c r="H19" s="7">
        <v>5.3861503600000013E-2</v>
      </c>
      <c r="I19" s="7">
        <v>5.3278183899999991E-2</v>
      </c>
      <c r="J19" s="7">
        <v>7.2324628799999999E-2</v>
      </c>
      <c r="K19" s="7">
        <v>6.5265922500000004E-2</v>
      </c>
      <c r="L19" s="7">
        <v>6.3488807700000011E-2</v>
      </c>
      <c r="M19" s="7">
        <v>6.139916900000001E-2</v>
      </c>
      <c r="N19" s="7">
        <v>6.970487119999999E-2</v>
      </c>
      <c r="O19" s="7">
        <v>8.4744920700000004E-2</v>
      </c>
      <c r="P19" s="7">
        <v>7.1332936299999997E-2</v>
      </c>
      <c r="Q19" s="7">
        <v>6.7350478200000008E-2</v>
      </c>
      <c r="R19" s="7">
        <v>6.0729908899999983E-2</v>
      </c>
      <c r="S19" s="7">
        <v>4.0695095099999988E-2</v>
      </c>
      <c r="T19" s="7">
        <v>5.1373648600000002E-2</v>
      </c>
      <c r="U19" s="7">
        <v>4.8029952000000001E-2</v>
      </c>
      <c r="V19" s="7">
        <v>5.1697979000000012E-2</v>
      </c>
      <c r="W19" s="7">
        <v>5.1610975299999987E-2</v>
      </c>
      <c r="X19" s="7">
        <v>4.1593022299999997E-2</v>
      </c>
      <c r="Y19" s="7">
        <v>3.3152716200000001E-2</v>
      </c>
      <c r="Z19" s="7">
        <v>5.0955634100000008E-2</v>
      </c>
      <c r="AA19" s="7">
        <v>4.8918228100000009E-2</v>
      </c>
      <c r="AB19" s="7"/>
      <c r="AC19" s="9">
        <f t="shared" si="0"/>
        <v>4.8918228100000009E-2</v>
      </c>
      <c r="AD19" s="10" t="str">
        <f t="shared" si="1"/>
        <v>2023</v>
      </c>
      <c r="AE19" s="9">
        <f t="shared" si="2"/>
        <v>4.5246115199999999E-2</v>
      </c>
      <c r="AF19" s="9">
        <f t="shared" si="3"/>
        <v>0.10108177189999998</v>
      </c>
    </row>
    <row r="20" spans="1:32" x14ac:dyDescent="0.2">
      <c r="A20" s="6" t="s">
        <v>66</v>
      </c>
      <c r="B20" s="6" t="s">
        <v>67</v>
      </c>
      <c r="C20" s="6"/>
      <c r="D20" s="7">
        <v>0.1213758659</v>
      </c>
      <c r="E20" s="7">
        <v>0.1143885326</v>
      </c>
      <c r="F20" s="7">
        <v>0.10194515229999999</v>
      </c>
      <c r="G20" s="7">
        <v>6.7342433899999998E-2</v>
      </c>
      <c r="H20" s="7">
        <v>6.6214489900000006E-2</v>
      </c>
      <c r="I20" s="7">
        <v>8.9872961000000001E-2</v>
      </c>
      <c r="J20" s="7">
        <v>8.26970291E-2</v>
      </c>
      <c r="K20" s="7">
        <v>0.1032302856</v>
      </c>
      <c r="L20" s="7">
        <v>0.1147650242</v>
      </c>
      <c r="M20" s="7">
        <v>0.1443360138</v>
      </c>
      <c r="N20" s="7">
        <v>0.1567889881</v>
      </c>
      <c r="O20" s="7">
        <v>0.17069700239999999</v>
      </c>
      <c r="P20" s="7">
        <v>0.1396876812</v>
      </c>
      <c r="Q20" s="7">
        <v>0.1503563976</v>
      </c>
      <c r="R20" s="7">
        <v>0.14475960730000001</v>
      </c>
      <c r="S20" s="7">
        <v>0.1419551849</v>
      </c>
      <c r="T20" s="7">
        <v>0.15698118210000001</v>
      </c>
      <c r="U20" s="7">
        <v>0.15108494759999999</v>
      </c>
      <c r="V20" s="7">
        <v>0.15667870519999999</v>
      </c>
      <c r="W20" s="7">
        <v>0.14952267650000001</v>
      </c>
      <c r="X20" s="7">
        <v>0.146783371</v>
      </c>
      <c r="Y20" s="7">
        <v>0.18260875700000001</v>
      </c>
      <c r="Z20" s="7">
        <v>0.152007637</v>
      </c>
      <c r="AA20" s="7">
        <v>0.1541133881</v>
      </c>
      <c r="AB20" s="7"/>
      <c r="AC20" s="9">
        <f t="shared" si="0"/>
        <v>0.1541133881</v>
      </c>
      <c r="AD20" s="10" t="str">
        <f t="shared" si="1"/>
        <v>2023</v>
      </c>
      <c r="AE20" s="9">
        <f t="shared" si="2"/>
        <v>0.15700716592</v>
      </c>
      <c r="AF20" s="9">
        <f t="shared" si="3"/>
        <v>0</v>
      </c>
    </row>
    <row r="21" spans="1:32" x14ac:dyDescent="0.2">
      <c r="A21" s="6" t="s">
        <v>68</v>
      </c>
      <c r="B21" s="6" t="s">
        <v>69</v>
      </c>
      <c r="C21" s="6"/>
      <c r="D21" s="7">
        <v>6.6637258500000005E-2</v>
      </c>
      <c r="E21" s="7">
        <v>6.6326627699999988E-2</v>
      </c>
      <c r="F21" s="7">
        <v>6.1411838500000003E-2</v>
      </c>
      <c r="G21" s="7">
        <v>5.4432034499999983E-2</v>
      </c>
      <c r="H21" s="7">
        <v>5.2430896800000008E-2</v>
      </c>
      <c r="I21" s="7">
        <v>5.24353075E-2</v>
      </c>
      <c r="J21" s="7">
        <v>5.049946780000001E-2</v>
      </c>
      <c r="K21" s="7">
        <v>5.0176458399999978E-2</v>
      </c>
      <c r="L21" s="7">
        <v>4.6992468799999992E-2</v>
      </c>
      <c r="M21" s="7">
        <v>4.7180848100000013E-2</v>
      </c>
      <c r="N21" s="7">
        <v>4.361563210000001E-2</v>
      </c>
      <c r="O21" s="7">
        <v>4.82708216E-2</v>
      </c>
      <c r="P21" s="7">
        <v>4.3854093599999998E-2</v>
      </c>
      <c r="Q21" s="7">
        <v>4.1566328999999999E-2</v>
      </c>
      <c r="R21" s="7">
        <v>4.1614847199999999E-2</v>
      </c>
      <c r="S21" s="7">
        <v>5.0579767200000007E-2</v>
      </c>
      <c r="T21" s="8">
        <v>5.0579767200000007E-2</v>
      </c>
      <c r="U21" s="7">
        <v>5.4199476200000013E-2</v>
      </c>
      <c r="V21" s="7">
        <v>4.7215852700000012E-2</v>
      </c>
      <c r="W21" s="7">
        <v>4.8228468899999988E-2</v>
      </c>
      <c r="X21" s="7">
        <v>5.1611223200000007E-2</v>
      </c>
      <c r="Y21" s="7">
        <v>6.7994494399999994E-2</v>
      </c>
      <c r="Z21" s="7">
        <v>6.7607383700000009E-2</v>
      </c>
      <c r="AA21" s="7">
        <v>6.9267306299999998E-2</v>
      </c>
      <c r="AB21" s="7"/>
      <c r="AC21" s="9">
        <f t="shared" si="0"/>
        <v>6.9267306299999998E-2</v>
      </c>
      <c r="AD21" s="10" t="str">
        <f t="shared" si="1"/>
        <v>2023</v>
      </c>
      <c r="AE21" s="9">
        <f t="shared" si="2"/>
        <v>6.0941775300000001E-2</v>
      </c>
      <c r="AF21" s="9">
        <f t="shared" si="3"/>
        <v>8.0732693699999997E-2</v>
      </c>
    </row>
    <row r="22" spans="1:32" x14ac:dyDescent="0.2">
      <c r="A22" s="6" t="s">
        <v>70</v>
      </c>
      <c r="B22" s="6" t="s">
        <v>71</v>
      </c>
      <c r="C22" s="6"/>
      <c r="D22" s="7">
        <v>0.18813766479999999</v>
      </c>
      <c r="E22" s="7">
        <v>0.17688159940000001</v>
      </c>
      <c r="F22" s="7">
        <v>0.17782289509999999</v>
      </c>
      <c r="G22" s="7">
        <v>0.1718667603</v>
      </c>
      <c r="H22" s="7">
        <v>0.186806469</v>
      </c>
      <c r="I22" s="7">
        <v>0.1893865585</v>
      </c>
      <c r="J22" s="7">
        <v>0.1930836487</v>
      </c>
      <c r="K22" s="7">
        <v>0.17984247210000001</v>
      </c>
      <c r="L22" s="7">
        <v>0.16658824920000001</v>
      </c>
      <c r="M22" s="7">
        <v>0.15814736369999999</v>
      </c>
      <c r="N22" s="7">
        <v>0.17085517880000001</v>
      </c>
      <c r="O22" s="7">
        <v>0.18986028669999999</v>
      </c>
      <c r="P22" s="7">
        <v>0.16267700199999999</v>
      </c>
      <c r="Q22" s="7">
        <v>0.1671699905</v>
      </c>
      <c r="R22" s="7">
        <v>0.16978040699999999</v>
      </c>
      <c r="S22" s="7">
        <v>0.1773853302</v>
      </c>
      <c r="T22" s="7">
        <v>0.1765205383</v>
      </c>
      <c r="U22" s="7">
        <v>0.1631419945</v>
      </c>
      <c r="V22" s="7">
        <v>0.1646056175</v>
      </c>
      <c r="W22" s="7">
        <v>0.16971138</v>
      </c>
      <c r="X22" s="7">
        <v>0.17724639889999999</v>
      </c>
      <c r="Y22" s="7">
        <v>0.20650449749999999</v>
      </c>
      <c r="Z22" s="7">
        <v>0.21437885279999999</v>
      </c>
      <c r="AA22" s="7">
        <v>0.18509180069999989</v>
      </c>
      <c r="AB22" s="7"/>
      <c r="AC22" s="9">
        <f t="shared" si="0"/>
        <v>0.18509180069999989</v>
      </c>
      <c r="AD22" s="10" t="str">
        <f t="shared" si="1"/>
        <v>2023</v>
      </c>
      <c r="AE22" s="9">
        <f t="shared" si="2"/>
        <v>0.19058658597999997</v>
      </c>
      <c r="AF22" s="9">
        <f t="shared" si="3"/>
        <v>0</v>
      </c>
    </row>
    <row r="23" spans="1:32" x14ac:dyDescent="0.2">
      <c r="A23" s="6" t="s">
        <v>72</v>
      </c>
      <c r="B23" s="6" t="s">
        <v>73</v>
      </c>
      <c r="C23" s="6" t="s">
        <v>49</v>
      </c>
      <c r="D23" s="7">
        <v>9.7942724199999998E-2</v>
      </c>
      <c r="E23" s="7">
        <v>9.2848577499999987E-2</v>
      </c>
      <c r="F23" s="7">
        <v>9.1893815999999989E-2</v>
      </c>
      <c r="G23" s="7">
        <v>0.1139668179</v>
      </c>
      <c r="H23" s="7">
        <v>9.7426118900000011E-2</v>
      </c>
      <c r="I23" s="7">
        <v>0.12612316130000001</v>
      </c>
      <c r="J23" s="7">
        <v>0.12620983120000001</v>
      </c>
      <c r="K23" s="7">
        <v>0.12373457910000001</v>
      </c>
      <c r="L23" s="7">
        <v>0.13342635150000001</v>
      </c>
      <c r="M23" s="7">
        <v>0.13331740380000001</v>
      </c>
      <c r="N23" s="7">
        <v>0.1375653362</v>
      </c>
      <c r="O23" s="7">
        <v>0.14277363779999999</v>
      </c>
      <c r="P23" s="7">
        <v>0.1265477371</v>
      </c>
      <c r="Q23" s="7">
        <v>0.1166008472</v>
      </c>
      <c r="R23" s="7">
        <v>8.5009336500000005E-2</v>
      </c>
      <c r="S23" s="7">
        <v>8.5870170599999976E-2</v>
      </c>
      <c r="T23" s="7">
        <v>8.2180528599999997E-2</v>
      </c>
      <c r="U23" s="7">
        <v>9.9716405899999999E-2</v>
      </c>
      <c r="V23" s="7">
        <v>9.6976747500000016E-2</v>
      </c>
      <c r="W23" s="7">
        <v>0.1293035984</v>
      </c>
      <c r="X23" s="7">
        <v>0.10393843649999999</v>
      </c>
      <c r="Y23" s="7">
        <v>0.12300969119999999</v>
      </c>
      <c r="Z23" s="7">
        <v>0.10635377880000001</v>
      </c>
      <c r="AA23" s="8">
        <v>0.10635377880000001</v>
      </c>
      <c r="AB23" s="7"/>
      <c r="AC23" s="9">
        <f t="shared" si="0"/>
        <v>0.10635377880000001</v>
      </c>
      <c r="AD23" s="10" t="str">
        <f t="shared" si="1"/>
        <v>2023</v>
      </c>
      <c r="AE23" s="9">
        <f t="shared" si="2"/>
        <v>0.11379185674</v>
      </c>
      <c r="AF23" s="9">
        <f t="shared" si="3"/>
        <v>4.3646221199999988E-2</v>
      </c>
    </row>
    <row r="24" spans="1:32" x14ac:dyDescent="0.2">
      <c r="A24" s="6" t="s">
        <v>74</v>
      </c>
      <c r="B24" s="6" t="s">
        <v>75</v>
      </c>
      <c r="C24" s="6" t="s">
        <v>49</v>
      </c>
      <c r="D24" s="7">
        <v>7.0295844099999977E-2</v>
      </c>
      <c r="E24" s="7">
        <v>8.9823350899999987E-2</v>
      </c>
      <c r="F24" s="7">
        <v>8.3686761900000017E-2</v>
      </c>
      <c r="G24" s="7">
        <v>8.4177932699999986E-2</v>
      </c>
      <c r="H24" s="7">
        <v>5.7266540499999997E-2</v>
      </c>
      <c r="I24" s="7">
        <v>7.5500240299999979E-2</v>
      </c>
      <c r="J24" s="7">
        <v>5.0760445600000009E-2</v>
      </c>
      <c r="K24" s="7">
        <v>6.4959816899999995E-2</v>
      </c>
      <c r="L24" s="7">
        <v>2.7417819499999999E-2</v>
      </c>
      <c r="M24" s="7">
        <v>5.3001999900000013E-2</v>
      </c>
      <c r="N24" s="7">
        <v>5.10711384E-2</v>
      </c>
      <c r="O24" s="7">
        <v>2.0911443200000001E-2</v>
      </c>
      <c r="P24" s="7">
        <v>6.4068546300000001E-2</v>
      </c>
      <c r="Q24" s="7">
        <v>6.1933026300000013E-2</v>
      </c>
      <c r="R24" s="7">
        <v>4.0883421900000008E-2</v>
      </c>
      <c r="S24" s="7">
        <v>5.5721168499999987E-2</v>
      </c>
      <c r="T24" s="7">
        <v>5.0244526900000003E-2</v>
      </c>
      <c r="U24" s="7">
        <v>4.7883601199999987E-2</v>
      </c>
      <c r="V24" s="7">
        <v>4.7606048599999999E-2</v>
      </c>
      <c r="W24" s="8">
        <v>4.7606048599999999E-2</v>
      </c>
      <c r="X24" s="7">
        <v>6.79223251E-2</v>
      </c>
      <c r="Y24" s="7">
        <v>7.0967450099999982E-2</v>
      </c>
      <c r="Z24" s="7">
        <v>5.6767020199999997E-2</v>
      </c>
      <c r="AA24" s="8">
        <v>5.6767020199999997E-2</v>
      </c>
      <c r="AB24" s="7"/>
      <c r="AC24" s="9">
        <f t="shared" si="0"/>
        <v>5.6767020199999997E-2</v>
      </c>
      <c r="AD24" s="10" t="str">
        <f t="shared" si="1"/>
        <v>2023</v>
      </c>
      <c r="AE24" s="9">
        <f t="shared" si="2"/>
        <v>6.0005972839999991E-2</v>
      </c>
      <c r="AF24" s="9">
        <f t="shared" si="3"/>
        <v>9.3232979800000004E-2</v>
      </c>
    </row>
    <row r="25" spans="1:32" x14ac:dyDescent="0.2">
      <c r="A25" s="6" t="s">
        <v>76</v>
      </c>
      <c r="B25" s="6" t="s">
        <v>77</v>
      </c>
      <c r="C25" s="6"/>
      <c r="D25" s="7">
        <v>0.10588044169999999</v>
      </c>
      <c r="E25" s="7">
        <v>7.9022274000000003E-2</v>
      </c>
      <c r="F25" s="7">
        <v>8.0357570599999997E-2</v>
      </c>
      <c r="G25" s="7">
        <v>8.6106271700000014E-2</v>
      </c>
      <c r="H25" s="7">
        <v>9.254050250000001E-2</v>
      </c>
      <c r="I25" s="7">
        <v>0.10359533310000001</v>
      </c>
      <c r="J25" s="7">
        <v>9.9688577699999975E-2</v>
      </c>
      <c r="K25" s="7">
        <v>0.1059320831</v>
      </c>
      <c r="L25" s="7">
        <v>9.7818183900000022E-2</v>
      </c>
      <c r="M25" s="7">
        <v>8.3703699099999987E-2</v>
      </c>
      <c r="N25" s="7">
        <v>8.7944440800000023E-2</v>
      </c>
      <c r="O25" s="7">
        <v>7.4741101300000015E-2</v>
      </c>
      <c r="P25" s="7">
        <v>7.5050916699999984E-2</v>
      </c>
      <c r="Q25" s="7">
        <v>7.4668259599999981E-2</v>
      </c>
      <c r="R25" s="7">
        <v>7.1042761800000007E-2</v>
      </c>
      <c r="S25" s="7">
        <v>7.0441751499999997E-2</v>
      </c>
      <c r="T25" s="7">
        <v>6.667899129999999E-2</v>
      </c>
      <c r="U25" s="7">
        <v>7.723214149999999E-2</v>
      </c>
      <c r="V25" s="7">
        <v>7.7550287199999998E-2</v>
      </c>
      <c r="W25" s="7">
        <v>8.7279424699999997E-2</v>
      </c>
      <c r="X25" s="7">
        <v>8.681464199999997E-2</v>
      </c>
      <c r="Y25" s="7">
        <v>0.1031014252</v>
      </c>
      <c r="Z25" s="7">
        <v>0.1032937622</v>
      </c>
      <c r="AA25" s="7">
        <v>9.3221130400000018E-2</v>
      </c>
      <c r="AB25" s="7"/>
      <c r="AC25" s="9">
        <f t="shared" si="0"/>
        <v>9.3221130400000018E-2</v>
      </c>
      <c r="AD25" s="10" t="str">
        <f t="shared" si="1"/>
        <v>2023</v>
      </c>
      <c r="AE25" s="9">
        <f t="shared" si="2"/>
        <v>9.47420769E-2</v>
      </c>
      <c r="AF25" s="9">
        <f t="shared" si="3"/>
        <v>5.6778869599999976E-2</v>
      </c>
    </row>
    <row r="26" spans="1:32" x14ac:dyDescent="0.2">
      <c r="A26" s="6" t="s">
        <v>78</v>
      </c>
      <c r="B26" s="6" t="s">
        <v>79</v>
      </c>
      <c r="C26" s="6"/>
      <c r="D26" s="7">
        <v>6.3089752200000002E-2</v>
      </c>
      <c r="E26" s="8">
        <v>6.3089752200000002E-2</v>
      </c>
      <c r="F26" s="8">
        <v>6.3089752200000002E-2</v>
      </c>
      <c r="G26" s="8">
        <v>6.3089752200000002E-2</v>
      </c>
      <c r="H26" s="8">
        <v>6.3089752200000002E-2</v>
      </c>
      <c r="I26" s="8">
        <v>6.3089752200000002E-2</v>
      </c>
      <c r="J26" s="8">
        <v>6.3089752200000002E-2</v>
      </c>
      <c r="K26" s="8">
        <v>6.3089752200000002E-2</v>
      </c>
      <c r="L26" s="8">
        <v>6.3089752200000002E-2</v>
      </c>
      <c r="M26" s="8">
        <v>6.3089752200000002E-2</v>
      </c>
      <c r="N26" s="8">
        <v>6.3089752200000002E-2</v>
      </c>
      <c r="O26" s="8">
        <v>6.3089752200000002E-2</v>
      </c>
      <c r="P26" s="8">
        <v>6.3089752200000002E-2</v>
      </c>
      <c r="Q26" s="8">
        <v>6.3089752200000002E-2</v>
      </c>
      <c r="R26" s="7">
        <v>5.7540197400000007E-2</v>
      </c>
      <c r="S26" s="7">
        <v>5.0990447999999987E-2</v>
      </c>
      <c r="T26" s="7">
        <v>6.6577014899999995E-2</v>
      </c>
      <c r="U26" s="7">
        <v>4.4914708100000013E-2</v>
      </c>
      <c r="V26" s="7">
        <v>5.5134363199999988E-2</v>
      </c>
      <c r="W26" s="7">
        <v>5.3790602700000002E-2</v>
      </c>
      <c r="X26" s="7">
        <v>7.6984744099999974E-2</v>
      </c>
      <c r="Y26" s="7">
        <v>5.98440981E-2</v>
      </c>
      <c r="Z26" s="7">
        <v>6.8301234199999977E-2</v>
      </c>
      <c r="AA26" s="7">
        <v>5.4587292700000012E-2</v>
      </c>
      <c r="AB26" s="7"/>
      <c r="AC26" s="9">
        <f t="shared" si="0"/>
        <v>5.4587292700000012E-2</v>
      </c>
      <c r="AD26" s="10" t="str">
        <f t="shared" si="1"/>
        <v>2023</v>
      </c>
      <c r="AE26" s="9">
        <f t="shared" si="2"/>
        <v>6.2701594359999988E-2</v>
      </c>
      <c r="AF26" s="9">
        <f t="shared" si="3"/>
        <v>9.5412707299999983E-2</v>
      </c>
    </row>
    <row r="27" spans="1:32" x14ac:dyDescent="0.2">
      <c r="A27" s="6" t="s">
        <v>80</v>
      </c>
      <c r="B27" s="6" t="s">
        <v>81</v>
      </c>
      <c r="C27" s="6"/>
      <c r="D27" s="7">
        <v>6.1019425399999987E-2</v>
      </c>
      <c r="E27" s="8">
        <v>6.1019425399999987E-2</v>
      </c>
      <c r="F27" s="8">
        <v>6.1019425399999987E-2</v>
      </c>
      <c r="G27" s="7">
        <v>7.7802805899999994E-2</v>
      </c>
      <c r="H27" s="7">
        <v>6.9171962700000006E-2</v>
      </c>
      <c r="I27" s="7">
        <v>0.1363450813</v>
      </c>
      <c r="J27" s="7">
        <v>0.1149724102</v>
      </c>
      <c r="K27" s="7">
        <v>9.7394895599999989E-2</v>
      </c>
      <c r="L27" s="7">
        <v>9.8777551700000008E-2</v>
      </c>
      <c r="M27" s="7">
        <v>0.1235655785</v>
      </c>
      <c r="N27" s="7">
        <v>0.1191557407</v>
      </c>
      <c r="O27" s="7">
        <v>0.12074167249999999</v>
      </c>
      <c r="P27" s="7">
        <v>8.9727477999999999E-2</v>
      </c>
      <c r="Q27" s="7">
        <v>8.6166973099999988E-2</v>
      </c>
      <c r="R27" s="7">
        <v>6.7195372599999997E-2</v>
      </c>
      <c r="S27" s="7">
        <v>8.5578575099999984E-2</v>
      </c>
      <c r="T27" s="7">
        <v>6.5376787200000008E-2</v>
      </c>
      <c r="U27" s="7">
        <v>9.2740030299999998E-2</v>
      </c>
      <c r="V27" s="7">
        <v>6.5605044399999979E-2</v>
      </c>
      <c r="W27" s="7">
        <v>8.7683658599999992E-2</v>
      </c>
      <c r="X27" s="7">
        <v>8.0232305499999976E-2</v>
      </c>
      <c r="Y27" s="7">
        <v>7.7142071699999995E-2</v>
      </c>
      <c r="Z27" s="7">
        <v>7.4095878599999998E-2</v>
      </c>
      <c r="AA27" s="7">
        <v>0.1005148506</v>
      </c>
      <c r="AB27" s="7"/>
      <c r="AC27" s="9">
        <f t="shared" si="0"/>
        <v>0.1005148506</v>
      </c>
      <c r="AD27" s="10" t="str">
        <f t="shared" si="1"/>
        <v>2023</v>
      </c>
      <c r="AE27" s="9">
        <f t="shared" si="2"/>
        <v>8.3933752999999986E-2</v>
      </c>
      <c r="AF27" s="9">
        <f t="shared" si="3"/>
        <v>4.9485149399999998E-2</v>
      </c>
    </row>
    <row r="28" spans="1:32" x14ac:dyDescent="0.2">
      <c r="A28" s="6" t="s">
        <v>82</v>
      </c>
      <c r="B28" s="6" t="s">
        <v>83</v>
      </c>
      <c r="C28" s="6"/>
      <c r="D28" s="7">
        <v>0.140827589</v>
      </c>
      <c r="E28" s="7">
        <v>0.14400400159999999</v>
      </c>
      <c r="F28" s="7">
        <v>0.14791300769999999</v>
      </c>
      <c r="G28" s="7">
        <v>0.14208873750000001</v>
      </c>
      <c r="H28" s="7">
        <v>0.15732374190000001</v>
      </c>
      <c r="I28" s="7">
        <v>0.1420312977</v>
      </c>
      <c r="J28" s="7">
        <v>0.145871048</v>
      </c>
      <c r="K28" s="7">
        <v>0.14230330469999991</v>
      </c>
      <c r="L28" s="7">
        <v>0.15491264339999999</v>
      </c>
      <c r="M28" s="7">
        <v>0.1602617264</v>
      </c>
      <c r="N28" s="7">
        <v>0.14248166079999999</v>
      </c>
      <c r="O28" s="7">
        <v>0.13759574890000001</v>
      </c>
      <c r="P28" s="7">
        <v>0.1431886292</v>
      </c>
      <c r="Q28" s="7">
        <v>0.15827068329999999</v>
      </c>
      <c r="R28" s="7">
        <v>0.16460300450000001</v>
      </c>
      <c r="S28" s="7">
        <v>0.1810749817</v>
      </c>
      <c r="T28" s="7">
        <v>0.1820531464</v>
      </c>
      <c r="U28" s="7">
        <v>0.1721218491</v>
      </c>
      <c r="V28" s="7">
        <v>0.1667445374</v>
      </c>
      <c r="W28" s="7">
        <v>0.17651401520000001</v>
      </c>
      <c r="X28" s="7">
        <v>0.1586299229</v>
      </c>
      <c r="Y28" s="7">
        <v>0.19772802349999999</v>
      </c>
      <c r="Z28" s="7">
        <v>0.173305397</v>
      </c>
      <c r="AA28" s="7">
        <v>0.17754360199999999</v>
      </c>
      <c r="AB28" s="7"/>
      <c r="AC28" s="9">
        <f t="shared" si="0"/>
        <v>0.17754360199999999</v>
      </c>
      <c r="AD28" s="10" t="str">
        <f t="shared" si="1"/>
        <v>2023</v>
      </c>
      <c r="AE28" s="9">
        <f t="shared" si="2"/>
        <v>0.17674419211999998</v>
      </c>
      <c r="AF28" s="9">
        <f t="shared" si="3"/>
        <v>0</v>
      </c>
    </row>
    <row r="29" spans="1:32" x14ac:dyDescent="0.2">
      <c r="A29" s="6" t="s">
        <v>84</v>
      </c>
      <c r="B29" s="6" t="s">
        <v>85</v>
      </c>
      <c r="C29" s="6"/>
      <c r="D29" s="7">
        <v>2.3868253200000002E-2</v>
      </c>
      <c r="E29" s="7">
        <v>2.4863112E-2</v>
      </c>
      <c r="F29" s="7">
        <v>4.4430332200000013E-2</v>
      </c>
      <c r="G29" s="7">
        <v>2.8638539300000002E-2</v>
      </c>
      <c r="H29" s="7">
        <v>1.8615269699999999E-2</v>
      </c>
      <c r="I29" s="7">
        <v>2.3775997199999999E-2</v>
      </c>
      <c r="J29" s="7">
        <v>1.8866088400000001E-2</v>
      </c>
      <c r="K29" s="7">
        <v>2.7802450699999998E-2</v>
      </c>
      <c r="L29" s="7">
        <v>2.67598891E-2</v>
      </c>
      <c r="M29" s="7">
        <v>1.6039820900000001E-2</v>
      </c>
      <c r="N29" s="7">
        <v>1.7697701499999999E-2</v>
      </c>
      <c r="O29" s="7">
        <v>3.1844747100000001E-2</v>
      </c>
      <c r="P29" s="7">
        <v>2.6300339700000001E-2</v>
      </c>
      <c r="Q29" s="7">
        <v>2.6236228899999992E-2</v>
      </c>
      <c r="R29" s="7">
        <v>3.0479202300000001E-2</v>
      </c>
      <c r="S29" s="7">
        <v>1.9800685599999999E-2</v>
      </c>
      <c r="T29" s="7">
        <v>4.1296558400000002E-2</v>
      </c>
      <c r="U29" s="7">
        <v>3.4782426399999997E-2</v>
      </c>
      <c r="V29" s="7">
        <v>3.8791775700000003E-2</v>
      </c>
      <c r="W29" s="7">
        <v>6.1876754800000003E-2</v>
      </c>
      <c r="X29" s="7">
        <v>4.5516514799999977E-2</v>
      </c>
      <c r="Y29" s="7">
        <v>4.5103349700000003E-2</v>
      </c>
      <c r="Z29" s="7">
        <v>5.1174025499999998E-2</v>
      </c>
      <c r="AA29" s="8">
        <v>5.1174025499999998E-2</v>
      </c>
      <c r="AB29" s="7"/>
      <c r="AC29" s="9">
        <f t="shared" si="0"/>
        <v>5.1174025499999998E-2</v>
      </c>
      <c r="AD29" s="10" t="str">
        <f t="shared" si="1"/>
        <v>2023</v>
      </c>
      <c r="AE29" s="9">
        <f t="shared" si="2"/>
        <v>5.0968934059999992E-2</v>
      </c>
      <c r="AF29" s="9">
        <f t="shared" si="3"/>
        <v>9.8825974499999997E-2</v>
      </c>
    </row>
    <row r="30" spans="1:32" x14ac:dyDescent="0.2">
      <c r="A30" s="6" t="s">
        <v>86</v>
      </c>
      <c r="B30" s="6" t="s">
        <v>87</v>
      </c>
      <c r="C30" s="6"/>
      <c r="D30" s="7">
        <v>7.8165044800000014E-2</v>
      </c>
      <c r="E30" s="7">
        <v>6.7953934700000024E-2</v>
      </c>
      <c r="F30" s="7">
        <v>7.5090136500000002E-2</v>
      </c>
      <c r="G30" s="7">
        <v>7.3576483700000014E-2</v>
      </c>
      <c r="H30" s="7">
        <v>7.3529548599999994E-2</v>
      </c>
      <c r="I30" s="7">
        <v>6.2754049300000003E-2</v>
      </c>
      <c r="J30" s="7">
        <v>5.69657898E-2</v>
      </c>
      <c r="K30" s="7">
        <v>6.6087760899999987E-2</v>
      </c>
      <c r="L30" s="7">
        <v>7.0215044000000004E-2</v>
      </c>
      <c r="M30" s="7">
        <v>7.4141931500000008E-2</v>
      </c>
      <c r="N30" s="7">
        <v>7.6051526099999989E-2</v>
      </c>
      <c r="O30" s="7">
        <v>8.6206064200000002E-2</v>
      </c>
      <c r="P30" s="7">
        <v>8.2260751699999995E-2</v>
      </c>
      <c r="Q30" s="7">
        <v>8.8188905699999987E-2</v>
      </c>
      <c r="R30" s="7">
        <v>9.4168500900000007E-2</v>
      </c>
      <c r="S30" s="7">
        <v>0.10840704919999999</v>
      </c>
      <c r="T30" s="7">
        <v>0.10054207799999999</v>
      </c>
      <c r="U30" s="7">
        <v>0.1061353874</v>
      </c>
      <c r="V30" s="7">
        <v>0.1071157551</v>
      </c>
      <c r="W30" s="7">
        <v>0.1032425022</v>
      </c>
      <c r="X30" s="7">
        <v>0.13011634829999999</v>
      </c>
      <c r="Y30" s="7">
        <v>0.12894852640000001</v>
      </c>
      <c r="Z30" s="7">
        <v>8.5649328199999986E-2</v>
      </c>
      <c r="AA30" s="7">
        <v>7.3120975500000018E-2</v>
      </c>
      <c r="AB30" s="7"/>
      <c r="AC30" s="9">
        <f t="shared" si="0"/>
        <v>7.3120975500000018E-2</v>
      </c>
      <c r="AD30" s="10" t="str">
        <f t="shared" si="1"/>
        <v>2023</v>
      </c>
      <c r="AE30" s="9">
        <f t="shared" si="2"/>
        <v>0.10421553612000001</v>
      </c>
      <c r="AF30" s="9">
        <f t="shared" si="3"/>
        <v>7.6879024499999976E-2</v>
      </c>
    </row>
    <row r="31" spans="1:32" x14ac:dyDescent="0.2">
      <c r="A31" s="6" t="s">
        <v>88</v>
      </c>
      <c r="B31" s="6" t="s">
        <v>89</v>
      </c>
      <c r="C31" s="6"/>
      <c r="D31" s="7">
        <v>0.1394368362</v>
      </c>
      <c r="E31" s="7">
        <v>0.1190920353</v>
      </c>
      <c r="F31" s="7">
        <v>7.3620429000000001E-2</v>
      </c>
      <c r="G31" s="7">
        <v>6.6061697000000003E-2</v>
      </c>
      <c r="H31" s="7">
        <v>7.9492502200000009E-2</v>
      </c>
      <c r="I31" s="7">
        <v>6.6687545799999984E-2</v>
      </c>
      <c r="J31" s="7">
        <v>2.994277E-2</v>
      </c>
      <c r="K31" s="7">
        <v>7.1135840400000025E-2</v>
      </c>
      <c r="L31" s="7">
        <v>7.4259653099999989E-2</v>
      </c>
      <c r="M31" s="7">
        <v>6.7716474499999985E-2</v>
      </c>
      <c r="N31" s="7">
        <v>6.4308342899999996E-2</v>
      </c>
      <c r="O31" s="7">
        <v>2.98426127E-2</v>
      </c>
      <c r="P31" s="7">
        <v>2.7839145700000002E-2</v>
      </c>
      <c r="Q31" s="7">
        <v>2.9984676800000009E-2</v>
      </c>
      <c r="R31" s="7">
        <v>3.2014870600000009E-2</v>
      </c>
      <c r="S31" s="7">
        <v>4.4000372900000001E-2</v>
      </c>
      <c r="T31" s="7">
        <v>5.0224213599999998E-2</v>
      </c>
      <c r="U31" s="7">
        <v>4.5437197700000008E-2</v>
      </c>
      <c r="V31" s="7">
        <v>4.6750168799999992E-2</v>
      </c>
      <c r="W31" s="7">
        <v>4.24965858E-2</v>
      </c>
      <c r="X31" s="7">
        <v>4.8419084500000008E-2</v>
      </c>
      <c r="Y31" s="7">
        <v>4.3947257999999989E-2</v>
      </c>
      <c r="Z31" s="7">
        <v>4.1084308600000001E-2</v>
      </c>
      <c r="AA31" s="7">
        <v>4.5637707700000002E-2</v>
      </c>
      <c r="AB31" s="7"/>
      <c r="AC31" s="9">
        <f t="shared" si="0"/>
        <v>4.5637707700000002E-2</v>
      </c>
      <c r="AD31" s="10" t="str">
        <f t="shared" si="1"/>
        <v>2023</v>
      </c>
      <c r="AE31" s="9">
        <f t="shared" si="2"/>
        <v>4.4316988920000001E-2</v>
      </c>
      <c r="AF31" s="9">
        <f t="shared" si="3"/>
        <v>0.10436229229999999</v>
      </c>
    </row>
    <row r="32" spans="1:32" x14ac:dyDescent="0.2">
      <c r="A32" s="6" t="s">
        <v>90</v>
      </c>
      <c r="B32" s="6" t="s">
        <v>91</v>
      </c>
      <c r="C32" s="6"/>
      <c r="D32" s="7">
        <v>0.1367898464</v>
      </c>
      <c r="E32" s="7">
        <v>9.9386835099999987E-2</v>
      </c>
      <c r="F32" s="7">
        <v>9.4749918000000016E-2</v>
      </c>
      <c r="G32" s="7">
        <v>9.8826894800000009E-2</v>
      </c>
      <c r="H32" s="7">
        <v>9.5964126600000005E-2</v>
      </c>
      <c r="I32" s="7">
        <v>0.1236688042</v>
      </c>
      <c r="J32" s="7">
        <v>0.13421832080000001</v>
      </c>
      <c r="K32" s="7">
        <v>0.13636523249999999</v>
      </c>
      <c r="L32" s="7">
        <v>0.1256671429</v>
      </c>
      <c r="M32" s="7">
        <v>0.139932375</v>
      </c>
      <c r="N32" s="7">
        <v>0.13966723440000001</v>
      </c>
      <c r="O32" s="7">
        <v>0.15026724820000001</v>
      </c>
      <c r="P32" s="7">
        <v>0.1283597755</v>
      </c>
      <c r="Q32" s="7">
        <v>0.1181287098</v>
      </c>
      <c r="R32" s="7">
        <v>0.1155319595</v>
      </c>
      <c r="S32" s="7">
        <v>0.11328797340000001</v>
      </c>
      <c r="T32" s="7">
        <v>0.1129591942</v>
      </c>
      <c r="U32" s="7">
        <v>0.1062630653</v>
      </c>
      <c r="V32" s="7">
        <v>0.10892012600000001</v>
      </c>
      <c r="W32" s="7">
        <v>0.111674366</v>
      </c>
      <c r="X32" s="7">
        <v>0.1234406281</v>
      </c>
      <c r="Y32" s="7">
        <v>0.1209214497</v>
      </c>
      <c r="Z32" s="7">
        <v>0.1331573868</v>
      </c>
      <c r="AA32" s="7">
        <v>9.4285869599999989E-2</v>
      </c>
      <c r="AB32" s="7"/>
      <c r="AC32" s="9">
        <f t="shared" si="0"/>
        <v>9.4285869599999989E-2</v>
      </c>
      <c r="AD32" s="10" t="str">
        <f t="shared" si="1"/>
        <v>2023</v>
      </c>
      <c r="AE32" s="9">
        <f t="shared" si="2"/>
        <v>0.11669594003999999</v>
      </c>
      <c r="AF32" s="9">
        <f t="shared" si="3"/>
        <v>5.5714130400000006E-2</v>
      </c>
    </row>
    <row r="33" spans="1:32" x14ac:dyDescent="0.2">
      <c r="A33" s="6" t="s">
        <v>92</v>
      </c>
      <c r="B33" s="6" t="s">
        <v>93</v>
      </c>
      <c r="C33" s="6"/>
      <c r="D33" s="7">
        <v>3.0505600000000001E-2</v>
      </c>
      <c r="E33" s="7">
        <v>2.9032168399999999E-2</v>
      </c>
      <c r="F33" s="7">
        <v>2.77127647E-2</v>
      </c>
      <c r="G33" s="7">
        <v>2.6768760699999991E-2</v>
      </c>
      <c r="H33" s="7">
        <v>2.6527741000000001E-2</v>
      </c>
      <c r="I33" s="7">
        <v>2.93604422E-2</v>
      </c>
      <c r="J33" s="7">
        <v>2.88599753E-2</v>
      </c>
      <c r="K33" s="7">
        <v>2.787342789999999E-2</v>
      </c>
      <c r="L33" s="7">
        <v>2.7989826200000002E-2</v>
      </c>
      <c r="M33" s="7">
        <v>3.1219337E-2</v>
      </c>
      <c r="N33" s="7">
        <v>3.1116299600000001E-2</v>
      </c>
      <c r="O33" s="7">
        <v>3.3813006899999998E-2</v>
      </c>
      <c r="P33" s="7">
        <v>3.4384939700000013E-2</v>
      </c>
      <c r="Q33" s="7">
        <v>3.2388324699999999E-2</v>
      </c>
      <c r="R33" s="7">
        <v>3.2507054799999997E-2</v>
      </c>
      <c r="S33" s="7">
        <v>3.3762400200000001E-2</v>
      </c>
      <c r="T33" s="7">
        <v>3.3933346299999993E-2</v>
      </c>
      <c r="U33" s="7">
        <v>3.6608045100000007E-2</v>
      </c>
      <c r="V33" s="7">
        <v>3.6753218200000007E-2</v>
      </c>
      <c r="W33" s="7">
        <v>3.8472986200000003E-2</v>
      </c>
      <c r="X33" s="7">
        <v>3.6866047399999997E-2</v>
      </c>
      <c r="Y33" s="7">
        <v>4.4556293499999997E-2</v>
      </c>
      <c r="Z33" s="7">
        <v>4.7143902799999991E-2</v>
      </c>
      <c r="AA33" s="7">
        <v>4.5867085500000002E-2</v>
      </c>
      <c r="AB33" s="7"/>
      <c r="AC33" s="9">
        <f t="shared" si="0"/>
        <v>4.5867085500000002E-2</v>
      </c>
      <c r="AD33" s="10" t="str">
        <f t="shared" si="1"/>
        <v>2023</v>
      </c>
      <c r="AE33" s="9">
        <f t="shared" si="2"/>
        <v>4.2581263080000001E-2</v>
      </c>
      <c r="AF33" s="9">
        <f t="shared" si="3"/>
        <v>0.10413291449999999</v>
      </c>
    </row>
    <row r="34" spans="1:32" x14ac:dyDescent="0.2">
      <c r="A34" s="6" t="s">
        <v>94</v>
      </c>
      <c r="B34" s="6" t="s">
        <v>95</v>
      </c>
      <c r="C34" s="6"/>
      <c r="D34" s="7">
        <v>3.5924179599999988E-2</v>
      </c>
      <c r="E34" s="7">
        <v>3.9583151300000001E-2</v>
      </c>
      <c r="F34" s="7">
        <v>3.98283839E-2</v>
      </c>
      <c r="G34" s="7">
        <v>4.4996161499999993E-2</v>
      </c>
      <c r="H34" s="7">
        <v>4.2014951699999997E-2</v>
      </c>
      <c r="I34" s="7">
        <v>4.2081808999999998E-2</v>
      </c>
      <c r="J34" s="7">
        <v>4.5113744700000007E-2</v>
      </c>
      <c r="K34" s="7">
        <v>5.4374208499999993E-2</v>
      </c>
      <c r="L34" s="7">
        <v>4.6298518200000013E-2</v>
      </c>
      <c r="M34" s="7">
        <v>5.4129438400000007E-2</v>
      </c>
      <c r="N34" s="7">
        <v>3.9148962500000002E-2</v>
      </c>
      <c r="O34" s="7">
        <v>3.9625184500000001E-2</v>
      </c>
      <c r="P34" s="7">
        <v>4.0733542400000003E-2</v>
      </c>
      <c r="Q34" s="7">
        <v>4.3404297799999991E-2</v>
      </c>
      <c r="R34" s="7">
        <v>5.4055018399999988E-2</v>
      </c>
      <c r="S34" s="7">
        <v>6.5787243799999992E-2</v>
      </c>
      <c r="T34" s="7">
        <v>8.1296863599999991E-2</v>
      </c>
      <c r="U34" s="7">
        <v>8.2089261999999982E-2</v>
      </c>
      <c r="V34" s="7">
        <v>8.4031391099999991E-2</v>
      </c>
      <c r="W34" s="7">
        <v>8.5453538900000028E-2</v>
      </c>
      <c r="X34" s="7">
        <v>0.1024196243</v>
      </c>
      <c r="Y34" s="7">
        <v>0.1214989853</v>
      </c>
      <c r="Z34" s="7">
        <v>8.0798511500000003E-2</v>
      </c>
      <c r="AA34" s="7">
        <v>8.5207309700000011E-2</v>
      </c>
      <c r="AB34" s="7"/>
      <c r="AC34" s="9">
        <f t="shared" si="0"/>
        <v>8.5207309700000011E-2</v>
      </c>
      <c r="AD34" s="10" t="str">
        <f t="shared" si="1"/>
        <v>2023</v>
      </c>
      <c r="AE34" s="9">
        <f t="shared" si="2"/>
        <v>9.5075593940000008E-2</v>
      </c>
      <c r="AF34" s="9">
        <f t="shared" si="3"/>
        <v>6.4792690299999983E-2</v>
      </c>
    </row>
    <row r="35" spans="1:32" x14ac:dyDescent="0.2">
      <c r="A35" s="6" t="s">
        <v>96</v>
      </c>
      <c r="B35" s="6" t="s">
        <v>97</v>
      </c>
      <c r="C35" s="6"/>
      <c r="D35" s="7"/>
      <c r="E35" s="7"/>
      <c r="F35" s="7"/>
      <c r="G35" s="7">
        <v>3.1310050499999999E-2</v>
      </c>
      <c r="H35" s="7">
        <v>2.9806504200000011E-2</v>
      </c>
      <c r="I35" s="7">
        <v>3.1964197200000002E-2</v>
      </c>
      <c r="J35" s="7">
        <v>3.0470798E-2</v>
      </c>
      <c r="K35" s="7">
        <v>4.633220200000001E-2</v>
      </c>
      <c r="L35" s="7">
        <v>4.1442575500000009E-2</v>
      </c>
      <c r="M35" s="7">
        <v>4.7337260200000009E-2</v>
      </c>
      <c r="N35" s="7">
        <v>4.8027453400000003E-2</v>
      </c>
      <c r="O35" s="7">
        <v>4.7986240399999998E-2</v>
      </c>
      <c r="P35" s="7">
        <v>2.3523643E-2</v>
      </c>
      <c r="Q35" s="7">
        <v>2.37589312E-2</v>
      </c>
      <c r="R35" s="7">
        <v>2.3695983899999998E-2</v>
      </c>
      <c r="S35" s="7">
        <v>1.6812644000000002E-2</v>
      </c>
      <c r="T35" s="7">
        <v>5.9849252699999987E-2</v>
      </c>
      <c r="U35" s="7">
        <v>4.7749204599999998E-2</v>
      </c>
      <c r="V35" s="7">
        <v>6.4310226400000003E-2</v>
      </c>
      <c r="W35" s="7">
        <v>5.9936714199999998E-2</v>
      </c>
      <c r="X35" s="7">
        <v>6.1605987500000001E-2</v>
      </c>
      <c r="Y35" s="7">
        <v>6.9839291599999992E-2</v>
      </c>
      <c r="Z35" s="7">
        <v>5.8415260299999987E-2</v>
      </c>
      <c r="AA35" s="7">
        <v>6.1847820300000002E-2</v>
      </c>
      <c r="AB35" s="7"/>
      <c r="AC35" s="9">
        <f t="shared" si="0"/>
        <v>6.1847820300000002E-2</v>
      </c>
      <c r="AD35" s="10" t="str">
        <f t="shared" si="1"/>
        <v>2023</v>
      </c>
      <c r="AE35" s="9">
        <f t="shared" si="2"/>
        <v>6.2329014780000004E-2</v>
      </c>
      <c r="AF35" s="9">
        <f t="shared" si="3"/>
        <v>8.81521797E-2</v>
      </c>
    </row>
    <row r="36" spans="1:32" x14ac:dyDescent="0.2">
      <c r="A36" s="6" t="s">
        <v>98</v>
      </c>
      <c r="B36" s="6" t="s">
        <v>99</v>
      </c>
      <c r="C36" s="6"/>
      <c r="D36" s="7">
        <v>0.1184148693</v>
      </c>
      <c r="E36" s="7">
        <v>8.2009611099999991E-2</v>
      </c>
      <c r="F36" s="7">
        <v>8.6676101699999994E-2</v>
      </c>
      <c r="G36" s="7">
        <v>6.1375989899999997E-2</v>
      </c>
      <c r="H36" s="7">
        <v>7.6452746399999993E-2</v>
      </c>
      <c r="I36" s="7">
        <v>7.4342040999999998E-2</v>
      </c>
      <c r="J36" s="7">
        <v>6.2574462900000002E-2</v>
      </c>
      <c r="K36" s="7">
        <v>8.2274961500000007E-2</v>
      </c>
      <c r="L36" s="7">
        <v>8.35763645E-2</v>
      </c>
      <c r="M36" s="7">
        <v>7.4510445600000003E-2</v>
      </c>
      <c r="N36" s="7">
        <v>9.0329322799999986E-2</v>
      </c>
      <c r="O36" s="7">
        <v>9.5287666300000004E-2</v>
      </c>
      <c r="P36" s="7">
        <v>9.1577920899999998E-2</v>
      </c>
      <c r="Q36" s="7">
        <v>0.10769290920000001</v>
      </c>
      <c r="R36" s="7">
        <v>0.11251960749999999</v>
      </c>
      <c r="S36" s="7">
        <v>0.12820219990000001</v>
      </c>
      <c r="T36" s="7">
        <v>0.12683865550000001</v>
      </c>
      <c r="U36" s="7">
        <v>0.13954786299999999</v>
      </c>
      <c r="V36" s="7">
        <v>0.1303939724</v>
      </c>
      <c r="W36" s="7">
        <v>0.13320454600000001</v>
      </c>
      <c r="X36" s="7">
        <v>0.13988928789999999</v>
      </c>
      <c r="Y36" s="7">
        <v>0.16177646640000001</v>
      </c>
      <c r="Z36" s="7">
        <v>0.18963239670000001</v>
      </c>
      <c r="AA36" s="7">
        <v>0.15855963710000001</v>
      </c>
      <c r="AB36" s="7"/>
      <c r="AC36" s="9">
        <f t="shared" si="0"/>
        <v>0.15855963710000001</v>
      </c>
      <c r="AD36" s="10" t="str">
        <f t="shared" si="1"/>
        <v>2023</v>
      </c>
      <c r="AE36" s="9">
        <f t="shared" si="2"/>
        <v>0.15661246681999999</v>
      </c>
      <c r="AF36" s="9">
        <f t="shared" si="3"/>
        <v>0</v>
      </c>
    </row>
    <row r="37" spans="1:32" x14ac:dyDescent="0.2">
      <c r="A37" s="6" t="s">
        <v>100</v>
      </c>
      <c r="B37" s="6" t="s">
        <v>101</v>
      </c>
      <c r="C37" s="6"/>
      <c r="D37" s="7">
        <v>0.12689116480000001</v>
      </c>
      <c r="E37" s="7">
        <v>0.1361480045</v>
      </c>
      <c r="F37" s="7">
        <v>0.1338210011</v>
      </c>
      <c r="G37" s="7">
        <v>0.1137036991</v>
      </c>
      <c r="H37" s="7">
        <v>9.4005899400000009E-2</v>
      </c>
      <c r="I37" s="7">
        <v>0.1178674316</v>
      </c>
      <c r="J37" s="7">
        <v>0.11360123630000001</v>
      </c>
      <c r="K37" s="7">
        <v>0.12519184110000001</v>
      </c>
      <c r="L37" s="7">
        <v>0.15125434879999999</v>
      </c>
      <c r="M37" s="7">
        <v>0.17915904999999999</v>
      </c>
      <c r="N37" s="7">
        <v>0.17020586009999999</v>
      </c>
      <c r="O37" s="7">
        <v>0.15417558670000001</v>
      </c>
      <c r="P37" s="7">
        <v>0.1367097759</v>
      </c>
      <c r="Q37" s="7">
        <v>0.1312652111</v>
      </c>
      <c r="R37" s="7">
        <v>0.1306403065</v>
      </c>
      <c r="S37" s="7">
        <v>0.1221973801</v>
      </c>
      <c r="T37" s="7">
        <v>0.1123799038</v>
      </c>
      <c r="U37" s="7">
        <v>0.110992403</v>
      </c>
      <c r="V37" s="7">
        <v>9.9767198599999996E-2</v>
      </c>
      <c r="W37" s="7">
        <v>0.1008031368</v>
      </c>
      <c r="X37" s="7">
        <v>0.1076589775</v>
      </c>
      <c r="Y37" s="7">
        <v>0.10347292900000001</v>
      </c>
      <c r="Z37" s="7">
        <v>0.10466299060000001</v>
      </c>
      <c r="AA37" s="7">
        <v>0.1050131416</v>
      </c>
      <c r="AB37" s="7"/>
      <c r="AC37" s="9">
        <f t="shared" ref="AC37:AC68" si="4">LOOKUP(9.99E+307,D37:AB37)</f>
        <v>0.1050131416</v>
      </c>
      <c r="AD37" s="10" t="str">
        <f t="shared" ref="AD37:AD68" si="5">LOOKUP(9.99E+307,D37:AB37,D$4:AB$4)</f>
        <v>2023</v>
      </c>
      <c r="AE37" s="9">
        <f t="shared" ref="AE37:AE68" si="6">IFERROR(AVERAGE(W37:AB37),"")</f>
        <v>0.10432223510000001</v>
      </c>
      <c r="AF37" s="9">
        <f t="shared" ref="AF37:AF68" si="7">MAX(0,$B$2-AC37)</f>
        <v>4.4986858399999996E-2</v>
      </c>
    </row>
    <row r="38" spans="1:32" x14ac:dyDescent="0.2">
      <c r="A38" s="6" t="s">
        <v>102</v>
      </c>
      <c r="B38" s="6" t="s">
        <v>103</v>
      </c>
      <c r="C38" s="6" t="s">
        <v>49</v>
      </c>
      <c r="D38" s="7">
        <v>7.0889825800000014E-2</v>
      </c>
      <c r="E38" s="8">
        <v>7.0889825800000014E-2</v>
      </c>
      <c r="F38" s="8">
        <v>7.0889825800000014E-2</v>
      </c>
      <c r="G38" s="7">
        <v>7.0224299399999995E-2</v>
      </c>
      <c r="H38" s="7">
        <v>6.9893774999999991E-2</v>
      </c>
      <c r="I38" s="7">
        <v>6.8923878699999996E-2</v>
      </c>
      <c r="J38" s="7">
        <v>6.8128094699999989E-2</v>
      </c>
      <c r="K38" s="7">
        <v>7.0393862700000018E-2</v>
      </c>
      <c r="L38" s="7">
        <v>7.1708049799999993E-2</v>
      </c>
      <c r="M38" s="7">
        <v>7.2007761000000003E-2</v>
      </c>
      <c r="N38" s="7">
        <v>7.2441263200000008E-2</v>
      </c>
      <c r="O38" s="7">
        <v>7.9810910200000015E-2</v>
      </c>
      <c r="P38" s="7">
        <v>7.3592791599999999E-2</v>
      </c>
      <c r="Q38" s="7">
        <v>7.149720670000001E-2</v>
      </c>
      <c r="R38" s="7">
        <v>7.8450078999999992E-2</v>
      </c>
      <c r="S38" s="7">
        <v>8.0744800599999986E-2</v>
      </c>
      <c r="T38" s="7">
        <v>8.0254344899999996E-2</v>
      </c>
      <c r="U38" s="7">
        <v>6.7924046500000002E-2</v>
      </c>
      <c r="V38" s="7">
        <v>7.2187452299999982E-2</v>
      </c>
      <c r="W38" s="7">
        <v>8.2272357900000023E-2</v>
      </c>
      <c r="X38" s="7">
        <v>8.9104604700000006E-2</v>
      </c>
      <c r="Y38" s="7">
        <v>9.2824087100000008E-2</v>
      </c>
      <c r="Z38" s="7">
        <v>8.6511554700000007E-2</v>
      </c>
      <c r="AA38" s="8">
        <v>8.6511554700000007E-2</v>
      </c>
      <c r="AB38" s="7"/>
      <c r="AC38" s="9">
        <f t="shared" si="4"/>
        <v>8.6511554700000007E-2</v>
      </c>
      <c r="AD38" s="10" t="str">
        <f t="shared" si="5"/>
        <v>2023</v>
      </c>
      <c r="AE38" s="9">
        <f t="shared" si="6"/>
        <v>8.7444831819999999E-2</v>
      </c>
      <c r="AF38" s="9">
        <f t="shared" si="7"/>
        <v>6.3488445299999988E-2</v>
      </c>
    </row>
    <row r="39" spans="1:32" x14ac:dyDescent="0.2">
      <c r="A39" s="6" t="s">
        <v>104</v>
      </c>
      <c r="B39" s="6" t="s">
        <v>105</v>
      </c>
      <c r="C39" s="6"/>
      <c r="D39" s="7">
        <v>7.06400633E-2</v>
      </c>
      <c r="E39" s="7">
        <v>7.1314992900000027E-2</v>
      </c>
      <c r="F39" s="7">
        <v>7.5632910700000014E-2</v>
      </c>
      <c r="G39" s="7">
        <v>8.0725297900000006E-2</v>
      </c>
      <c r="H39" s="7">
        <v>8.2125959400000018E-2</v>
      </c>
      <c r="I39" s="7">
        <v>0.13069867130000001</v>
      </c>
      <c r="J39" s="7">
        <v>0.1445895767</v>
      </c>
      <c r="K39" s="7">
        <v>0.1042505074</v>
      </c>
      <c r="L39" s="7">
        <v>0.10385349269999999</v>
      </c>
      <c r="M39" s="7">
        <v>0.106962328</v>
      </c>
      <c r="N39" s="7">
        <v>9.2036390300000021E-2</v>
      </c>
      <c r="O39" s="7">
        <v>9.8833131800000015E-2</v>
      </c>
      <c r="P39" s="7">
        <v>0.10400711059999999</v>
      </c>
      <c r="Q39" s="7">
        <v>0.1034640503</v>
      </c>
      <c r="R39" s="7">
        <v>7.1389055300000004E-2</v>
      </c>
      <c r="S39" s="7">
        <v>7.1201858500000006E-2</v>
      </c>
      <c r="T39" s="7">
        <v>6.415807720000001E-2</v>
      </c>
      <c r="U39" s="7">
        <v>6.3416132899999991E-2</v>
      </c>
      <c r="V39" s="7">
        <v>7.3343763400000012E-2</v>
      </c>
      <c r="W39" s="7">
        <v>7.0939359699999996E-2</v>
      </c>
      <c r="X39" s="7">
        <v>6.9168786999999995E-2</v>
      </c>
      <c r="Y39" s="7">
        <v>9.2234439799999984E-2</v>
      </c>
      <c r="Z39" s="7">
        <v>7.5484380700000006E-2</v>
      </c>
      <c r="AA39" s="7">
        <v>7.3012633299999991E-2</v>
      </c>
      <c r="AB39" s="7"/>
      <c r="AC39" s="9">
        <f t="shared" si="4"/>
        <v>7.3012633299999991E-2</v>
      </c>
      <c r="AD39" s="10" t="str">
        <f t="shared" si="5"/>
        <v>2023</v>
      </c>
      <c r="AE39" s="9">
        <f t="shared" si="6"/>
        <v>7.6167920099999994E-2</v>
      </c>
      <c r="AF39" s="9">
        <f t="shared" si="7"/>
        <v>7.6987366700000004E-2</v>
      </c>
    </row>
    <row r="40" spans="1:32" x14ac:dyDescent="0.2">
      <c r="A40" s="6" t="s">
        <v>106</v>
      </c>
      <c r="B40" s="6" t="s">
        <v>107</v>
      </c>
      <c r="C40" s="6"/>
      <c r="D40" s="7">
        <v>6.1991443600000001E-2</v>
      </c>
      <c r="E40" s="7">
        <v>7.0550289200000005E-2</v>
      </c>
      <c r="F40" s="7">
        <v>6.12984419E-2</v>
      </c>
      <c r="G40" s="7">
        <v>6.8348050099999988E-2</v>
      </c>
      <c r="H40" s="7">
        <v>5.853271010000001E-2</v>
      </c>
      <c r="I40" s="7">
        <v>5.9141712200000009E-2</v>
      </c>
      <c r="J40" s="7">
        <v>4.3634643600000002E-2</v>
      </c>
      <c r="K40" s="7">
        <v>3.9029948699999997E-2</v>
      </c>
      <c r="L40" s="7">
        <v>3.1974592199999999E-2</v>
      </c>
      <c r="M40" s="7">
        <v>5.7037658700000007E-2</v>
      </c>
      <c r="N40" s="7">
        <v>2.6945555199999999E-2</v>
      </c>
      <c r="O40" s="7">
        <v>1.8174867600000009E-2</v>
      </c>
      <c r="P40" s="7">
        <v>1.7665905999999999E-2</v>
      </c>
      <c r="Q40" s="7">
        <v>2.9400711100000001E-2</v>
      </c>
      <c r="R40" s="7">
        <v>2.7363533999999991E-2</v>
      </c>
      <c r="S40" s="7">
        <v>3.3508019400000012E-2</v>
      </c>
      <c r="T40" s="7">
        <v>3.6279940599999998E-2</v>
      </c>
      <c r="U40" s="7">
        <v>4.0769591299999998E-2</v>
      </c>
      <c r="V40" s="7">
        <v>4.1973304700000012E-2</v>
      </c>
      <c r="W40" s="7">
        <v>5.1632490200000013E-2</v>
      </c>
      <c r="X40" s="7">
        <v>4.3148298300000013E-2</v>
      </c>
      <c r="Y40" s="7">
        <v>4.5797653200000003E-2</v>
      </c>
      <c r="Z40" s="7">
        <v>4.2535505299999998E-2</v>
      </c>
      <c r="AA40" s="7">
        <v>3.2051065000000011E-2</v>
      </c>
      <c r="AB40" s="7"/>
      <c r="AC40" s="9">
        <f t="shared" si="4"/>
        <v>3.2051065000000011E-2</v>
      </c>
      <c r="AD40" s="10" t="str">
        <f t="shared" si="5"/>
        <v>2023</v>
      </c>
      <c r="AE40" s="9">
        <f t="shared" si="6"/>
        <v>4.3033002400000006E-2</v>
      </c>
      <c r="AF40" s="9">
        <f t="shared" si="7"/>
        <v>0.11794893499999998</v>
      </c>
    </row>
    <row r="41" spans="1:32" x14ac:dyDescent="0.2">
      <c r="A41" s="6" t="s">
        <v>108</v>
      </c>
      <c r="B41" s="6" t="s">
        <v>109</v>
      </c>
      <c r="C41" s="6" t="s">
        <v>49</v>
      </c>
      <c r="D41" s="7">
        <v>7.4074072799999988E-2</v>
      </c>
      <c r="E41" s="7">
        <v>8.7013416299999979E-2</v>
      </c>
      <c r="F41" s="7">
        <v>7.7236957600000003E-2</v>
      </c>
      <c r="G41" s="7">
        <v>7.9082698800000004E-2</v>
      </c>
      <c r="H41" s="7">
        <v>8.25498962E-2</v>
      </c>
      <c r="I41" s="7">
        <v>5.99692535E-2</v>
      </c>
      <c r="J41" s="7">
        <v>7.0538449300000014E-2</v>
      </c>
      <c r="K41" s="7">
        <v>9.6424684499999996E-2</v>
      </c>
      <c r="L41" s="7">
        <v>8.0810174900000031E-2</v>
      </c>
      <c r="M41" s="7">
        <v>7.3227448500000014E-2</v>
      </c>
      <c r="N41" s="7">
        <v>7.1979927999999999E-2</v>
      </c>
      <c r="O41" s="7">
        <v>8.1988744700000019E-2</v>
      </c>
      <c r="P41" s="7">
        <v>9.6743116400000023E-2</v>
      </c>
      <c r="Q41" s="7">
        <v>0.1048774624</v>
      </c>
      <c r="R41" s="7">
        <v>0.11592402459999999</v>
      </c>
      <c r="S41" s="7">
        <v>0.10860278130000001</v>
      </c>
      <c r="T41" s="7">
        <v>0.1033607674</v>
      </c>
      <c r="U41" s="7">
        <v>0.1197283363</v>
      </c>
      <c r="V41" s="7">
        <v>0.1077791023</v>
      </c>
      <c r="W41" s="7">
        <v>0.12610546110000001</v>
      </c>
      <c r="X41" s="7">
        <v>8.949593539999999E-2</v>
      </c>
      <c r="Y41" s="7">
        <v>8.1524248099999988E-2</v>
      </c>
      <c r="Z41" s="7">
        <v>0.12883148189999999</v>
      </c>
      <c r="AA41" s="7">
        <v>0.11833222390000001</v>
      </c>
      <c r="AB41" s="7"/>
      <c r="AC41" s="9">
        <f t="shared" si="4"/>
        <v>0.11833222390000001</v>
      </c>
      <c r="AD41" s="10" t="str">
        <f t="shared" si="5"/>
        <v>2023</v>
      </c>
      <c r="AE41" s="9">
        <f t="shared" si="6"/>
        <v>0.10885787007999999</v>
      </c>
      <c r="AF41" s="9">
        <f t="shared" si="7"/>
        <v>3.1667776099999989E-2</v>
      </c>
    </row>
    <row r="42" spans="1:32" x14ac:dyDescent="0.2">
      <c r="A42" s="6" t="s">
        <v>110</v>
      </c>
      <c r="B42" s="6" t="s">
        <v>111</v>
      </c>
      <c r="C42" s="6" t="s">
        <v>49</v>
      </c>
      <c r="D42" s="7">
        <v>4.2549176199999997E-2</v>
      </c>
      <c r="E42" s="8">
        <v>4.2549176199999997E-2</v>
      </c>
      <c r="F42" s="8">
        <v>4.2549176199999997E-2</v>
      </c>
      <c r="G42" s="8">
        <v>4.2549176199999997E-2</v>
      </c>
      <c r="H42" s="8">
        <v>4.2549176199999997E-2</v>
      </c>
      <c r="I42" s="8">
        <v>4.2549176199999997E-2</v>
      </c>
      <c r="J42" s="8">
        <v>4.2549176199999997E-2</v>
      </c>
      <c r="K42" s="8">
        <v>4.2549176199999997E-2</v>
      </c>
      <c r="L42" s="8">
        <v>4.2549176199999997E-2</v>
      </c>
      <c r="M42" s="7">
        <v>5.0466022499999992E-2</v>
      </c>
      <c r="N42" s="8">
        <v>5.0466022499999992E-2</v>
      </c>
      <c r="O42" s="8">
        <v>5.0466022499999992E-2</v>
      </c>
      <c r="P42" s="8">
        <v>5.0466022499999992E-2</v>
      </c>
      <c r="Q42" s="7">
        <v>1.1572529099999999E-2</v>
      </c>
      <c r="R42" s="7">
        <v>2.4611892699999999E-2</v>
      </c>
      <c r="S42" s="7">
        <v>3.2433903200000003E-2</v>
      </c>
      <c r="T42" s="7">
        <v>3.8970165299999998E-2</v>
      </c>
      <c r="U42" s="7">
        <v>3.9551458399999989E-2</v>
      </c>
      <c r="V42" s="7">
        <v>5.1662292499999991E-2</v>
      </c>
      <c r="W42" s="7">
        <v>4.1983461399999998E-2</v>
      </c>
      <c r="X42" s="7">
        <v>3.7481868299999992E-2</v>
      </c>
      <c r="Y42" s="7">
        <v>3.7302012399999987E-2</v>
      </c>
      <c r="Z42" s="7">
        <v>4.7911715499999993E-2</v>
      </c>
      <c r="AA42" s="8">
        <v>4.7911715499999993E-2</v>
      </c>
      <c r="AB42" s="7"/>
      <c r="AC42" s="9">
        <f t="shared" si="4"/>
        <v>4.7911715499999993E-2</v>
      </c>
      <c r="AD42" s="10" t="str">
        <f t="shared" si="5"/>
        <v>2023</v>
      </c>
      <c r="AE42" s="9">
        <f t="shared" si="6"/>
        <v>4.2518154619999991E-2</v>
      </c>
      <c r="AF42" s="9">
        <f t="shared" si="7"/>
        <v>0.1020882845</v>
      </c>
    </row>
    <row r="43" spans="1:32" x14ac:dyDescent="0.2">
      <c r="A43" s="6" t="s">
        <v>112</v>
      </c>
      <c r="B43" s="6" t="s">
        <v>113</v>
      </c>
      <c r="C43" s="6"/>
      <c r="D43" s="7">
        <v>6.0398206699999998E-2</v>
      </c>
      <c r="E43" s="7">
        <v>5.7829866399999999E-2</v>
      </c>
      <c r="F43" s="7">
        <v>7.75643206E-2</v>
      </c>
      <c r="G43" s="7">
        <v>6.308599949999999E-2</v>
      </c>
      <c r="H43" s="7">
        <v>5.4211988399999987E-2</v>
      </c>
      <c r="I43" s="7">
        <v>5.7806248699999993E-2</v>
      </c>
      <c r="J43" s="7">
        <v>5.2754869500000003E-2</v>
      </c>
      <c r="K43" s="7">
        <v>4.8129820799999987E-2</v>
      </c>
      <c r="L43" s="7">
        <v>3.7007906399999978E-2</v>
      </c>
      <c r="M43" s="7">
        <v>4.0890393299999987E-2</v>
      </c>
      <c r="N43" s="7">
        <v>4.3341274300000003E-2</v>
      </c>
      <c r="O43" s="7">
        <v>6.4195838000000005E-2</v>
      </c>
      <c r="P43" s="7">
        <v>7.4125747700000008E-2</v>
      </c>
      <c r="Q43" s="7">
        <v>4.9712419500000007E-2</v>
      </c>
      <c r="R43" s="7">
        <v>5.71347761E-2</v>
      </c>
      <c r="S43" s="7">
        <v>7.5143165600000006E-2</v>
      </c>
      <c r="T43" s="7">
        <v>9.9081020400000011E-2</v>
      </c>
      <c r="U43" s="7">
        <v>8.8626747099999986E-2</v>
      </c>
      <c r="V43" s="7">
        <v>9.2703323399999996E-2</v>
      </c>
      <c r="W43" s="7">
        <v>8.3604936599999999E-2</v>
      </c>
      <c r="X43" s="7">
        <v>9.743197440000001E-2</v>
      </c>
      <c r="Y43" s="7">
        <v>6.9114699400000007E-2</v>
      </c>
      <c r="Z43" s="7">
        <v>5.0627131500000012E-2</v>
      </c>
      <c r="AA43" s="7">
        <v>9.57147312E-2</v>
      </c>
      <c r="AB43" s="7"/>
      <c r="AC43" s="9">
        <f t="shared" si="4"/>
        <v>9.57147312E-2</v>
      </c>
      <c r="AD43" s="10" t="str">
        <f t="shared" si="5"/>
        <v>2023</v>
      </c>
      <c r="AE43" s="9">
        <f t="shared" si="6"/>
        <v>7.9298694620000013E-2</v>
      </c>
      <c r="AF43" s="9">
        <f t="shared" si="7"/>
        <v>5.4285268799999994E-2</v>
      </c>
    </row>
    <row r="44" spans="1:32" x14ac:dyDescent="0.2">
      <c r="A44" s="6" t="s">
        <v>114</v>
      </c>
      <c r="B44" s="6" t="s">
        <v>115</v>
      </c>
      <c r="C44" s="6" t="s">
        <v>49</v>
      </c>
      <c r="D44" s="7">
        <v>0.1202784538</v>
      </c>
      <c r="E44" s="7">
        <v>0.11971966739999999</v>
      </c>
      <c r="F44" s="7">
        <v>0.140413332</v>
      </c>
      <c r="G44" s="7">
        <v>0.13117821690000001</v>
      </c>
      <c r="H44" s="7">
        <v>0.10014784810000001</v>
      </c>
      <c r="I44" s="7">
        <v>0.1054040527</v>
      </c>
      <c r="J44" s="7">
        <v>0.1024768925</v>
      </c>
      <c r="K44" s="7">
        <v>0.1183832264</v>
      </c>
      <c r="L44" s="7">
        <v>8.9767837499999989E-2</v>
      </c>
      <c r="M44" s="7">
        <v>0.10439493179999999</v>
      </c>
      <c r="N44" s="7">
        <v>0.15209796910000001</v>
      </c>
      <c r="O44" s="7">
        <v>0.13936785700000001</v>
      </c>
      <c r="P44" s="7">
        <v>0.12936995509999999</v>
      </c>
      <c r="Q44" s="7">
        <v>0.1026806545</v>
      </c>
      <c r="R44" s="7">
        <v>0.1392414951</v>
      </c>
      <c r="S44" s="7">
        <v>0.15274279590000001</v>
      </c>
      <c r="T44" s="7">
        <v>0.17510868069999999</v>
      </c>
      <c r="U44" s="7">
        <v>0.15032087329999999</v>
      </c>
      <c r="V44" s="7">
        <v>0.10429566379999999</v>
      </c>
      <c r="W44" s="7">
        <v>4.44415092E-2</v>
      </c>
      <c r="X44" s="7">
        <v>4.21817684E-2</v>
      </c>
      <c r="Y44" s="7">
        <v>5.3777942699999998E-2</v>
      </c>
      <c r="Z44" s="7">
        <v>5.5134177200000023E-2</v>
      </c>
      <c r="AA44" s="8">
        <v>5.5134177200000023E-2</v>
      </c>
      <c r="AB44" s="7"/>
      <c r="AC44" s="9">
        <f t="shared" si="4"/>
        <v>5.5134177200000023E-2</v>
      </c>
      <c r="AD44" s="10" t="str">
        <f t="shared" si="5"/>
        <v>2023</v>
      </c>
      <c r="AE44" s="9">
        <f t="shared" si="6"/>
        <v>5.013391494000001E-2</v>
      </c>
      <c r="AF44" s="9">
        <f t="shared" si="7"/>
        <v>9.4865822799999971E-2</v>
      </c>
    </row>
    <row r="45" spans="1:32" x14ac:dyDescent="0.2">
      <c r="A45" s="6" t="s">
        <v>116</v>
      </c>
      <c r="B45" s="6" t="s">
        <v>117</v>
      </c>
      <c r="C45" s="6" t="s">
        <v>49</v>
      </c>
      <c r="D45" s="7">
        <v>7.042603489999999E-2</v>
      </c>
      <c r="E45" s="8">
        <v>7.042603489999999E-2</v>
      </c>
      <c r="F45" s="8">
        <v>7.042603489999999E-2</v>
      </c>
      <c r="G45" s="7">
        <v>7.633512499999999E-2</v>
      </c>
      <c r="H45" s="7">
        <v>4.9951510400000003E-2</v>
      </c>
      <c r="I45" s="7">
        <v>6.0378303499999987E-2</v>
      </c>
      <c r="J45" s="7">
        <v>5.2927179300000002E-2</v>
      </c>
      <c r="K45" s="7">
        <v>3.5445971499999999E-2</v>
      </c>
      <c r="L45" s="7">
        <v>6.6249685299999986E-2</v>
      </c>
      <c r="M45" s="7">
        <v>5.2324380900000002E-2</v>
      </c>
      <c r="N45" s="7">
        <v>5.7746429399999993E-2</v>
      </c>
      <c r="O45" s="7">
        <v>6.7799968699999991E-2</v>
      </c>
      <c r="P45" s="7">
        <v>5.0962386100000007E-2</v>
      </c>
      <c r="Q45" s="7">
        <v>7.1556725500000001E-2</v>
      </c>
      <c r="R45" s="7">
        <v>8.580904960000002E-2</v>
      </c>
      <c r="S45" s="7">
        <v>9.7289199800000004E-2</v>
      </c>
      <c r="T45" s="7">
        <v>9.6779670700000014E-2</v>
      </c>
      <c r="U45" s="7">
        <v>8.1896133400000015E-2</v>
      </c>
      <c r="V45" s="7">
        <v>8.7133112000000013E-2</v>
      </c>
      <c r="W45" s="7">
        <v>7.9386005400000015E-2</v>
      </c>
      <c r="X45" s="7">
        <v>6.8733200999999994E-2</v>
      </c>
      <c r="Y45" s="7">
        <v>5.7563810299999983E-2</v>
      </c>
      <c r="Z45" s="7">
        <v>3.2871100899999998E-2</v>
      </c>
      <c r="AA45" s="8">
        <v>3.2871100899999998E-2</v>
      </c>
      <c r="AB45" s="7"/>
      <c r="AC45" s="9">
        <f t="shared" si="4"/>
        <v>3.2871100899999998E-2</v>
      </c>
      <c r="AD45" s="10" t="str">
        <f t="shared" si="5"/>
        <v>2023</v>
      </c>
      <c r="AE45" s="9">
        <f t="shared" si="6"/>
        <v>5.4285043700000001E-2</v>
      </c>
      <c r="AF45" s="9">
        <f t="shared" si="7"/>
        <v>0.11712889909999999</v>
      </c>
    </row>
    <row r="46" spans="1:32" x14ac:dyDescent="0.2">
      <c r="A46" s="6" t="s">
        <v>118</v>
      </c>
      <c r="B46" s="6" t="s">
        <v>119</v>
      </c>
      <c r="C46" s="6"/>
      <c r="D46" s="7">
        <v>6.668892860000003E-2</v>
      </c>
      <c r="E46" s="7">
        <v>5.746562479999999E-2</v>
      </c>
      <c r="F46" s="7">
        <v>5.5660767599999987E-2</v>
      </c>
      <c r="G46" s="7">
        <v>6.7859749799999994E-2</v>
      </c>
      <c r="H46" s="7">
        <v>7.3005456900000015E-2</v>
      </c>
      <c r="I46" s="7">
        <v>6.4582085600000005E-2</v>
      </c>
      <c r="J46" s="7">
        <v>5.5458898499999999E-2</v>
      </c>
      <c r="K46" s="7">
        <v>4.6381096799999993E-2</v>
      </c>
      <c r="L46" s="7">
        <v>3.7941119699999998E-2</v>
      </c>
      <c r="M46" s="7">
        <v>2.9260635399999999E-2</v>
      </c>
      <c r="N46" s="7">
        <v>3.3015408500000003E-2</v>
      </c>
      <c r="O46" s="7">
        <v>2.9412171800000001E-2</v>
      </c>
      <c r="P46" s="7">
        <v>2.66254306E-2</v>
      </c>
      <c r="Q46" s="7">
        <v>4.128911020000002E-2</v>
      </c>
      <c r="R46" s="7">
        <v>4.4547328900000009E-2</v>
      </c>
      <c r="S46" s="7">
        <v>4.3903341300000003E-2</v>
      </c>
      <c r="T46" s="7">
        <v>5.4306330700000009E-2</v>
      </c>
      <c r="U46" s="7">
        <v>5.1372628199999992E-2</v>
      </c>
      <c r="V46" s="7">
        <v>5.6687855699999998E-2</v>
      </c>
      <c r="W46" s="7">
        <v>4.835014339999999E-2</v>
      </c>
      <c r="X46" s="7">
        <v>5.37126255E-2</v>
      </c>
      <c r="Y46" s="7">
        <v>5.0374312399999989E-2</v>
      </c>
      <c r="Z46" s="7">
        <v>5.6016616800000002E-2</v>
      </c>
      <c r="AA46" s="7">
        <v>5.4313564299999978E-2</v>
      </c>
      <c r="AB46" s="7"/>
      <c r="AC46" s="9">
        <f t="shared" si="4"/>
        <v>5.4313564299999978E-2</v>
      </c>
      <c r="AD46" s="10" t="str">
        <f t="shared" si="5"/>
        <v>2023</v>
      </c>
      <c r="AE46" s="9">
        <f t="shared" si="6"/>
        <v>5.2553452479999985E-2</v>
      </c>
      <c r="AF46" s="9">
        <f t="shared" si="7"/>
        <v>9.5686435700000017E-2</v>
      </c>
    </row>
    <row r="47" spans="1:32" x14ac:dyDescent="0.2">
      <c r="A47" s="6" t="s">
        <v>120</v>
      </c>
      <c r="B47" s="6" t="s">
        <v>121</v>
      </c>
      <c r="C47" s="6"/>
      <c r="D47" s="7">
        <v>6.8792710299999976E-2</v>
      </c>
      <c r="E47" s="7">
        <v>7.0158920300000011E-2</v>
      </c>
      <c r="F47" s="7">
        <v>7.2455525400000012E-2</v>
      </c>
      <c r="G47" s="7">
        <v>7.1191735299999975E-2</v>
      </c>
      <c r="H47" s="7">
        <v>7.9944195700000012E-2</v>
      </c>
      <c r="I47" s="7">
        <v>7.3627076099999994E-2</v>
      </c>
      <c r="J47" s="7">
        <v>7.3024840400000013E-2</v>
      </c>
      <c r="K47" s="7">
        <v>6.8428731000000007E-2</v>
      </c>
      <c r="L47" s="7">
        <v>6.1225447699999998E-2</v>
      </c>
      <c r="M47" s="7">
        <v>6.2817368499999998E-2</v>
      </c>
      <c r="N47" s="7">
        <v>8.29588032E-2</v>
      </c>
      <c r="O47" s="7">
        <v>7.3622040700000002E-2</v>
      </c>
      <c r="P47" s="7">
        <v>8.3190431599999975E-2</v>
      </c>
      <c r="Q47" s="7">
        <v>8.0071840299999988E-2</v>
      </c>
      <c r="R47" s="7">
        <v>0.1052838707</v>
      </c>
      <c r="S47" s="7">
        <v>9.4584188500000013E-2</v>
      </c>
      <c r="T47" s="7">
        <v>0.102022686</v>
      </c>
      <c r="U47" s="7">
        <v>0.10204333309999999</v>
      </c>
      <c r="V47" s="7">
        <v>0.1020625019</v>
      </c>
      <c r="W47" s="7">
        <v>9.0032053000000001E-2</v>
      </c>
      <c r="X47" s="7">
        <v>8.99296188E-2</v>
      </c>
      <c r="Y47" s="7">
        <v>0.108982172</v>
      </c>
      <c r="Z47" s="7">
        <v>8.6092090599999976E-2</v>
      </c>
      <c r="AA47" s="7">
        <v>8.2431125600000002E-2</v>
      </c>
      <c r="AB47" s="7"/>
      <c r="AC47" s="9">
        <f t="shared" si="4"/>
        <v>8.2431125600000002E-2</v>
      </c>
      <c r="AD47" s="10" t="str">
        <f t="shared" si="5"/>
        <v>2023</v>
      </c>
      <c r="AE47" s="9">
        <f t="shared" si="6"/>
        <v>9.1493411999999982E-2</v>
      </c>
      <c r="AF47" s="9">
        <f t="shared" si="7"/>
        <v>6.7568874399999992E-2</v>
      </c>
    </row>
    <row r="48" spans="1:32" x14ac:dyDescent="0.2">
      <c r="A48" s="6" t="s">
        <v>122</v>
      </c>
      <c r="B48" s="6" t="s">
        <v>123</v>
      </c>
      <c r="C48" s="6"/>
      <c r="D48" s="7">
        <v>0.13354763980000001</v>
      </c>
      <c r="E48" s="7">
        <v>0.11051220890000001</v>
      </c>
      <c r="F48" s="7">
        <v>0.10904332160000001</v>
      </c>
      <c r="G48" s="7">
        <v>8.8584766400000015E-2</v>
      </c>
      <c r="H48" s="7">
        <v>8.8026466400000003E-2</v>
      </c>
      <c r="I48" s="7">
        <v>9.4847002000000014E-2</v>
      </c>
      <c r="J48" s="7">
        <v>9.5116033599999983E-2</v>
      </c>
      <c r="K48" s="7">
        <v>8.1638727200000025E-2</v>
      </c>
      <c r="L48" s="7">
        <v>8.5525045400000027E-2</v>
      </c>
      <c r="M48" s="7">
        <v>8.7487115900000009E-2</v>
      </c>
      <c r="N48" s="7">
        <v>7.7428665199999996E-2</v>
      </c>
      <c r="O48" s="7">
        <v>5.6204299899999997E-2</v>
      </c>
      <c r="P48" s="7">
        <v>6.5033869699999997E-2</v>
      </c>
      <c r="Q48" s="7">
        <v>7.1063871400000006E-2</v>
      </c>
      <c r="R48" s="7">
        <v>7.4850249300000005E-2</v>
      </c>
      <c r="S48" s="7">
        <v>7.7266616799999993E-2</v>
      </c>
      <c r="T48" s="7">
        <v>6.4619765299999993E-2</v>
      </c>
      <c r="U48" s="7">
        <v>7.0231714200000017E-2</v>
      </c>
      <c r="V48" s="7">
        <v>7.3763604199999999E-2</v>
      </c>
      <c r="W48" s="7">
        <v>6.8780841799999992E-2</v>
      </c>
      <c r="X48" s="7">
        <v>6.920670990000001E-2</v>
      </c>
      <c r="Y48" s="7">
        <v>0.1173573017</v>
      </c>
      <c r="Z48" s="7">
        <v>9.2518873200000004E-2</v>
      </c>
      <c r="AA48" s="7">
        <v>8.5609340699999981E-2</v>
      </c>
      <c r="AB48" s="7"/>
      <c r="AC48" s="9">
        <f t="shared" si="4"/>
        <v>8.5609340699999981E-2</v>
      </c>
      <c r="AD48" s="10" t="str">
        <f t="shared" si="5"/>
        <v>2023</v>
      </c>
      <c r="AE48" s="9">
        <f t="shared" si="6"/>
        <v>8.669461346E-2</v>
      </c>
      <c r="AF48" s="9">
        <f t="shared" si="7"/>
        <v>6.4390659300000014E-2</v>
      </c>
    </row>
    <row r="49" spans="1:32" x14ac:dyDescent="0.2">
      <c r="A49" s="6" t="s">
        <v>124</v>
      </c>
      <c r="B49" s="6" t="s">
        <v>125</v>
      </c>
      <c r="C49" s="6" t="s">
        <v>49</v>
      </c>
      <c r="D49" s="7">
        <v>6.3166494399999995E-2</v>
      </c>
      <c r="E49" s="8">
        <v>6.3166494399999995E-2</v>
      </c>
      <c r="F49" s="8">
        <v>6.3166494399999995E-2</v>
      </c>
      <c r="G49" s="8">
        <v>6.3166494399999995E-2</v>
      </c>
      <c r="H49" s="8">
        <v>6.3166494399999995E-2</v>
      </c>
      <c r="I49" s="7">
        <v>8.3970003099999996E-2</v>
      </c>
      <c r="J49" s="7">
        <v>5.6725707100000002E-2</v>
      </c>
      <c r="K49" s="7">
        <v>5.6029038400000009E-2</v>
      </c>
      <c r="L49" s="7">
        <v>5.6681065600000011E-2</v>
      </c>
      <c r="M49" s="7">
        <v>4.9652132999999987E-2</v>
      </c>
      <c r="N49" s="7">
        <v>4.6724147799999977E-2</v>
      </c>
      <c r="O49" s="7">
        <v>4.3442201600000001E-2</v>
      </c>
      <c r="P49" s="7">
        <v>4.3945960999999992E-2</v>
      </c>
      <c r="Q49" s="7">
        <v>4.7261586199999997E-2</v>
      </c>
      <c r="R49" s="7">
        <v>4.3172817200000012E-2</v>
      </c>
      <c r="S49" s="7">
        <v>5.5544376399999991E-2</v>
      </c>
      <c r="T49" s="7">
        <v>5.9959621399999989E-2</v>
      </c>
      <c r="U49" s="7">
        <v>6.0745649300000003E-2</v>
      </c>
      <c r="V49" s="7">
        <v>5.7316060100000003E-2</v>
      </c>
      <c r="W49" s="7">
        <v>6.5206022299999999E-2</v>
      </c>
      <c r="X49" s="7">
        <v>7.0641245800000002E-2</v>
      </c>
      <c r="Y49" s="7">
        <v>7.1126351399999996E-2</v>
      </c>
      <c r="Z49" s="7">
        <v>6.9572682400000002E-2</v>
      </c>
      <c r="AA49" s="7">
        <v>6.7625646599999992E-2</v>
      </c>
      <c r="AB49" s="7"/>
      <c r="AC49" s="9">
        <f t="shared" si="4"/>
        <v>6.7625646599999992E-2</v>
      </c>
      <c r="AD49" s="10" t="str">
        <f t="shared" si="5"/>
        <v>2023</v>
      </c>
      <c r="AE49" s="9">
        <f t="shared" si="6"/>
        <v>6.8834389699999984E-2</v>
      </c>
      <c r="AF49" s="9">
        <f t="shared" si="7"/>
        <v>8.2374353400000003E-2</v>
      </c>
    </row>
    <row r="50" spans="1:32" x14ac:dyDescent="0.2">
      <c r="A50" s="6" t="s">
        <v>126</v>
      </c>
      <c r="B50" s="6" t="s">
        <v>127</v>
      </c>
      <c r="C50" s="6"/>
      <c r="D50" s="7">
        <v>0.1865596581</v>
      </c>
      <c r="E50" s="8">
        <v>0.1865596581</v>
      </c>
      <c r="F50" s="7">
        <v>0.1985424995</v>
      </c>
      <c r="G50" s="7">
        <v>0.19498096470000001</v>
      </c>
      <c r="H50" s="7">
        <v>0.2006664658</v>
      </c>
      <c r="I50" s="7">
        <v>0.1894181824</v>
      </c>
      <c r="J50" s="7">
        <v>0.18427373890000001</v>
      </c>
      <c r="K50" s="7">
        <v>0.2065299988</v>
      </c>
      <c r="L50" s="7">
        <v>0.1722389221</v>
      </c>
      <c r="M50" s="7">
        <v>0.1349217892</v>
      </c>
      <c r="N50" s="7">
        <v>0.145885601</v>
      </c>
      <c r="O50" s="7">
        <v>0.13310722350000001</v>
      </c>
      <c r="P50" s="7">
        <v>0.13719823840000001</v>
      </c>
      <c r="Q50" s="7">
        <v>0.1358865547</v>
      </c>
      <c r="R50" s="7">
        <v>0.1196669388</v>
      </c>
      <c r="S50" s="7">
        <v>0.1235063553</v>
      </c>
      <c r="T50" s="7">
        <v>0.13802706719999999</v>
      </c>
      <c r="U50" s="7">
        <v>0.1402117729</v>
      </c>
      <c r="V50" s="7">
        <v>0.14208248139999999</v>
      </c>
      <c r="W50" s="7">
        <v>0.14082218169999999</v>
      </c>
      <c r="X50" s="7">
        <v>0.1570535183</v>
      </c>
      <c r="Y50" s="7">
        <v>0.1660372353</v>
      </c>
      <c r="Z50" s="7">
        <v>0.15882202149999999</v>
      </c>
      <c r="AA50" s="7">
        <v>0.14992521289999999</v>
      </c>
      <c r="AB50" s="7"/>
      <c r="AC50" s="9">
        <f t="shared" si="4"/>
        <v>0.14992521289999999</v>
      </c>
      <c r="AD50" s="10" t="str">
        <f t="shared" si="5"/>
        <v>2023</v>
      </c>
      <c r="AE50" s="9">
        <f t="shared" si="6"/>
        <v>0.15453203393999998</v>
      </c>
      <c r="AF50" s="9">
        <f t="shared" si="7"/>
        <v>7.4787100000001105E-5</v>
      </c>
    </row>
    <row r="51" spans="1:32" x14ac:dyDescent="0.2">
      <c r="A51" s="6" t="s">
        <v>128</v>
      </c>
      <c r="B51" s="6" t="s">
        <v>129</v>
      </c>
      <c r="C51" s="6"/>
      <c r="D51" s="7">
        <v>4.2507414799999983E-2</v>
      </c>
      <c r="E51" s="7">
        <v>4.5276131599999998E-2</v>
      </c>
      <c r="F51" s="7">
        <v>6.101346970000001E-2</v>
      </c>
      <c r="G51" s="7">
        <v>5.5215454099999998E-2</v>
      </c>
      <c r="H51" s="7">
        <v>5.4828486399999987E-2</v>
      </c>
      <c r="I51" s="7">
        <v>6.2514729500000005E-2</v>
      </c>
      <c r="J51" s="7">
        <v>7.5840301500000012E-2</v>
      </c>
      <c r="K51" s="7">
        <v>5.1758842499999999E-2</v>
      </c>
      <c r="L51" s="7">
        <v>5.3112759599999997E-2</v>
      </c>
      <c r="M51" s="7">
        <v>4.6907815899999997E-2</v>
      </c>
      <c r="N51" s="7">
        <v>4.8050637200000017E-2</v>
      </c>
      <c r="O51" s="7">
        <v>4.8736372E-2</v>
      </c>
      <c r="P51" s="7">
        <v>4.6918611500000013E-2</v>
      </c>
      <c r="Q51" s="7">
        <v>4.8838276899999998E-2</v>
      </c>
      <c r="R51" s="7">
        <v>5.2682366399999993E-2</v>
      </c>
      <c r="S51" s="7">
        <v>5.1459526999999998E-2</v>
      </c>
      <c r="T51" s="7">
        <v>5.3145594599999998E-2</v>
      </c>
      <c r="U51" s="7">
        <v>4.5078778299999997E-2</v>
      </c>
      <c r="V51" s="7">
        <v>3.8115978199999997E-2</v>
      </c>
      <c r="W51" s="7">
        <v>4.0338621099999999E-2</v>
      </c>
      <c r="X51" s="7">
        <v>5.6691946999999999E-2</v>
      </c>
      <c r="Y51" s="7">
        <v>6.4860811199999993E-2</v>
      </c>
      <c r="Z51" s="7">
        <v>8.0067014700000008E-2</v>
      </c>
      <c r="AA51" s="7">
        <v>7.66042948E-2</v>
      </c>
      <c r="AB51" s="7"/>
      <c r="AC51" s="9">
        <f t="shared" si="4"/>
        <v>7.66042948E-2</v>
      </c>
      <c r="AD51" s="10" t="str">
        <f t="shared" si="5"/>
        <v>2023</v>
      </c>
      <c r="AE51" s="9">
        <f t="shared" si="6"/>
        <v>6.3712537759999993E-2</v>
      </c>
      <c r="AF51" s="9">
        <f t="shared" si="7"/>
        <v>7.3395705199999994E-2</v>
      </c>
    </row>
    <row r="52" spans="1:32" x14ac:dyDescent="0.2">
      <c r="A52" s="6" t="s">
        <v>130</v>
      </c>
      <c r="B52" s="6" t="s">
        <v>131</v>
      </c>
      <c r="C52" s="6"/>
      <c r="D52" s="7">
        <v>0.1248380184</v>
      </c>
      <c r="E52" s="7">
        <v>0.12790487289999999</v>
      </c>
      <c r="F52" s="7">
        <v>0.1314511585</v>
      </c>
      <c r="G52" s="7">
        <v>0.1224404907</v>
      </c>
      <c r="H52" s="7">
        <v>0.10920972819999999</v>
      </c>
      <c r="I52" s="7">
        <v>0.11793169019999999</v>
      </c>
      <c r="J52" s="7">
        <v>0.1340531254</v>
      </c>
      <c r="K52" s="7">
        <v>0.1467852211</v>
      </c>
      <c r="L52" s="7">
        <v>0.14583184239999999</v>
      </c>
      <c r="M52" s="7">
        <v>0.1676971817</v>
      </c>
      <c r="N52" s="7">
        <v>0.1573639107</v>
      </c>
      <c r="O52" s="7">
        <v>0.15000976560000001</v>
      </c>
      <c r="P52" s="7">
        <v>0.1556665039</v>
      </c>
      <c r="Q52" s="7">
        <v>0.15985260009999999</v>
      </c>
      <c r="R52" s="7">
        <v>0.16911611560000001</v>
      </c>
      <c r="S52" s="7">
        <v>0.17550643919999989</v>
      </c>
      <c r="T52" s="7">
        <v>0.17329458240000001</v>
      </c>
      <c r="U52" s="7">
        <v>0.17787366869999999</v>
      </c>
      <c r="V52" s="7">
        <v>0.18703578949999999</v>
      </c>
      <c r="W52" s="7">
        <v>0.18925168989999999</v>
      </c>
      <c r="X52" s="7">
        <v>0.1829687119</v>
      </c>
      <c r="Y52" s="7">
        <v>0.20180524829999999</v>
      </c>
      <c r="Z52" s="7">
        <v>0.1809780312</v>
      </c>
      <c r="AA52" s="7">
        <v>0.18289672849999999</v>
      </c>
      <c r="AB52" s="7"/>
      <c r="AC52" s="9">
        <f t="shared" si="4"/>
        <v>0.18289672849999999</v>
      </c>
      <c r="AD52" s="10" t="str">
        <f t="shared" si="5"/>
        <v>2023</v>
      </c>
      <c r="AE52" s="9">
        <f t="shared" si="6"/>
        <v>0.18758008195999998</v>
      </c>
      <c r="AF52" s="9">
        <f t="shared" si="7"/>
        <v>0</v>
      </c>
    </row>
    <row r="53" spans="1:32" x14ac:dyDescent="0.2">
      <c r="A53" s="6" t="s">
        <v>132</v>
      </c>
      <c r="B53" s="6" t="s">
        <v>133</v>
      </c>
      <c r="C53" s="6"/>
      <c r="D53" s="7">
        <v>8.3682642000000029E-2</v>
      </c>
      <c r="E53" s="7">
        <v>8.3435249299999986E-2</v>
      </c>
      <c r="F53" s="7">
        <v>8.3559980400000011E-2</v>
      </c>
      <c r="G53" s="7">
        <v>7.6298942599999989E-2</v>
      </c>
      <c r="H53" s="7">
        <v>7.3486261400000003E-2</v>
      </c>
      <c r="I53" s="7">
        <v>0.1234742451</v>
      </c>
      <c r="J53" s="7">
        <v>0.1354461861</v>
      </c>
      <c r="K53" s="7">
        <v>8.6317815800000003E-2</v>
      </c>
      <c r="L53" s="7">
        <v>9.1883315999999993E-2</v>
      </c>
      <c r="M53" s="7">
        <v>8.6941404300000011E-2</v>
      </c>
      <c r="N53" s="7">
        <v>9.1778869599999979E-2</v>
      </c>
      <c r="O53" s="7">
        <v>8.2997388800000016E-2</v>
      </c>
      <c r="P53" s="7">
        <v>6.2491211900000003E-2</v>
      </c>
      <c r="Q53" s="7">
        <v>6.55533648E-2</v>
      </c>
      <c r="R53" s="7">
        <v>5.4026942299999998E-2</v>
      </c>
      <c r="S53" s="7">
        <v>4.5863447200000011E-2</v>
      </c>
      <c r="T53" s="7">
        <v>5.6858091399999991E-2</v>
      </c>
      <c r="U53" s="7">
        <v>9.6628141400000006E-2</v>
      </c>
      <c r="V53" s="7">
        <v>8.3492775000000019E-2</v>
      </c>
      <c r="W53" s="7">
        <v>9.3794031100000008E-2</v>
      </c>
      <c r="X53" s="7">
        <v>0.1034436893</v>
      </c>
      <c r="Y53" s="7">
        <v>8.7473573700000015E-2</v>
      </c>
      <c r="Z53" s="7">
        <v>7.1149825999999999E-2</v>
      </c>
      <c r="AA53" s="7">
        <v>6.1501755700000001E-2</v>
      </c>
      <c r="AB53" s="7"/>
      <c r="AC53" s="9">
        <f t="shared" si="4"/>
        <v>6.1501755700000001E-2</v>
      </c>
      <c r="AD53" s="10" t="str">
        <f t="shared" si="5"/>
        <v>2023</v>
      </c>
      <c r="AE53" s="9">
        <f t="shared" si="6"/>
        <v>8.3472575160000007E-2</v>
      </c>
      <c r="AF53" s="9">
        <f t="shared" si="7"/>
        <v>8.8498244300000001E-2</v>
      </c>
    </row>
    <row r="54" spans="1:32" x14ac:dyDescent="0.2">
      <c r="A54" s="6" t="s">
        <v>134</v>
      </c>
      <c r="B54" s="6" t="s">
        <v>135</v>
      </c>
      <c r="C54" s="6" t="s">
        <v>49</v>
      </c>
      <c r="D54" s="7">
        <v>2.3668198600000009E-2</v>
      </c>
      <c r="E54" s="7">
        <v>2.77955914E-2</v>
      </c>
      <c r="F54" s="7">
        <v>2.74149632E-2</v>
      </c>
      <c r="G54" s="7">
        <v>4.0068516699999987E-2</v>
      </c>
      <c r="H54" s="7">
        <v>6.5542888600000002E-2</v>
      </c>
      <c r="I54" s="7">
        <v>6.4077029199999996E-2</v>
      </c>
      <c r="J54" s="7">
        <v>7.3223447799999994E-2</v>
      </c>
      <c r="K54" s="7">
        <v>4.2935776699999997E-2</v>
      </c>
      <c r="L54" s="7">
        <v>4.5940451599999987E-2</v>
      </c>
      <c r="M54" s="7">
        <v>3.6939575699999998E-2</v>
      </c>
      <c r="N54" s="7">
        <v>2.7029309299999998E-2</v>
      </c>
      <c r="O54" s="7">
        <v>2.7714133299999999E-2</v>
      </c>
      <c r="P54" s="7">
        <v>3.6679837700000002E-2</v>
      </c>
      <c r="Q54" s="7">
        <v>3.4590382599999997E-2</v>
      </c>
      <c r="R54" s="7">
        <v>3.3363800000000013E-2</v>
      </c>
      <c r="S54" s="7">
        <v>5.3312463800000008E-2</v>
      </c>
      <c r="T54" s="7">
        <v>4.8661375E-2</v>
      </c>
      <c r="U54" s="7">
        <v>4.4423522900000012E-2</v>
      </c>
      <c r="V54" s="7">
        <v>3.8811213999999997E-2</v>
      </c>
      <c r="W54" s="7">
        <v>3.7617120699999999E-2</v>
      </c>
      <c r="X54" s="7">
        <v>4.1839041700000003E-2</v>
      </c>
      <c r="Y54" s="7">
        <v>4.3079586000000003E-2</v>
      </c>
      <c r="Z54" s="8">
        <v>4.3079586000000003E-2</v>
      </c>
      <c r="AA54" s="8">
        <v>4.3079586000000003E-2</v>
      </c>
      <c r="AB54" s="7"/>
      <c r="AC54" s="9">
        <f t="shared" si="4"/>
        <v>4.3079586000000003E-2</v>
      </c>
      <c r="AD54" s="10" t="str">
        <f t="shared" si="5"/>
        <v>2023</v>
      </c>
      <c r="AE54" s="9">
        <f t="shared" si="6"/>
        <v>4.1738984079999999E-2</v>
      </c>
      <c r="AF54" s="9">
        <f t="shared" si="7"/>
        <v>0.10692041399999999</v>
      </c>
    </row>
    <row r="55" spans="1:32" x14ac:dyDescent="0.2">
      <c r="A55" s="6" t="s">
        <v>136</v>
      </c>
      <c r="B55" s="6" t="s">
        <v>137</v>
      </c>
      <c r="C55" s="6"/>
      <c r="D55" s="7">
        <v>6.2598590900000001E-2</v>
      </c>
      <c r="E55" s="7">
        <v>6.3066840200000002E-2</v>
      </c>
      <c r="F55" s="7">
        <v>6.2668557200000002E-2</v>
      </c>
      <c r="G55" s="7">
        <v>3.9821603300000001E-2</v>
      </c>
      <c r="H55" s="7">
        <v>4.5119390500000002E-2</v>
      </c>
      <c r="I55" s="7">
        <v>3.9787476099999997E-2</v>
      </c>
      <c r="J55" s="7">
        <v>3.2093622699999998E-2</v>
      </c>
      <c r="K55" s="7">
        <v>2.8208477499999999E-2</v>
      </c>
      <c r="L55" s="7">
        <v>2.2233431299999998E-2</v>
      </c>
      <c r="M55" s="7">
        <v>2.9631404900000002E-2</v>
      </c>
      <c r="N55" s="7">
        <v>2.8897414199999999E-2</v>
      </c>
      <c r="O55" s="7">
        <v>2.5431916700000001E-2</v>
      </c>
      <c r="P55" s="7">
        <v>3.1706104300000003E-2</v>
      </c>
      <c r="Q55" s="7">
        <v>3.2493059599999999E-2</v>
      </c>
      <c r="R55" s="7">
        <v>3.3424859000000001E-2</v>
      </c>
      <c r="S55" s="7">
        <v>3.8504207099999993E-2</v>
      </c>
      <c r="T55" s="7">
        <v>3.9600825300000003E-2</v>
      </c>
      <c r="U55" s="7">
        <v>4.7719540600000013E-2</v>
      </c>
      <c r="V55" s="7">
        <v>4.8994936899999987E-2</v>
      </c>
      <c r="W55" s="7">
        <v>4.9508824299999997E-2</v>
      </c>
      <c r="X55" s="7">
        <v>5.1228570899999999E-2</v>
      </c>
      <c r="Y55" s="7">
        <v>6.0219402300000002E-2</v>
      </c>
      <c r="Z55" s="7">
        <v>5.5511612899999993E-2</v>
      </c>
      <c r="AA55" s="7">
        <v>4.6826033599999997E-2</v>
      </c>
      <c r="AB55" s="7"/>
      <c r="AC55" s="9">
        <f t="shared" si="4"/>
        <v>4.6826033599999997E-2</v>
      </c>
      <c r="AD55" s="10" t="str">
        <f t="shared" si="5"/>
        <v>2023</v>
      </c>
      <c r="AE55" s="9">
        <f t="shared" si="6"/>
        <v>5.2658888799999991E-2</v>
      </c>
      <c r="AF55" s="9">
        <f t="shared" si="7"/>
        <v>0.1031739664</v>
      </c>
    </row>
    <row r="56" spans="1:32" x14ac:dyDescent="0.2">
      <c r="A56" s="6" t="s">
        <v>138</v>
      </c>
      <c r="B56" s="6" t="s">
        <v>139</v>
      </c>
      <c r="C56" s="6"/>
      <c r="D56" s="7">
        <v>0.19781747820000001</v>
      </c>
      <c r="E56" s="7">
        <v>0.18728843689999999</v>
      </c>
      <c r="F56" s="7">
        <v>0.18844736100000001</v>
      </c>
      <c r="G56" s="7">
        <v>0.17181688310000001</v>
      </c>
      <c r="H56" s="7">
        <v>0.19221500399999999</v>
      </c>
      <c r="I56" s="7">
        <v>0.16471035000000001</v>
      </c>
      <c r="J56" s="7">
        <v>0.18558368680000001</v>
      </c>
      <c r="K56" s="7">
        <v>0.22247358319999999</v>
      </c>
      <c r="L56" s="7">
        <v>0.20069345469999991</v>
      </c>
      <c r="M56" s="7">
        <v>0.20486574169999999</v>
      </c>
      <c r="N56" s="7">
        <v>0.19226312640000001</v>
      </c>
      <c r="O56" s="7">
        <v>0.1798855972</v>
      </c>
      <c r="P56" s="7">
        <v>0.17106687549999999</v>
      </c>
      <c r="Q56" s="7">
        <v>0.1740051651</v>
      </c>
      <c r="R56" s="7">
        <v>0.18434894560000001</v>
      </c>
      <c r="S56" s="7">
        <v>0.1971187019</v>
      </c>
      <c r="T56" s="7">
        <v>0.20341421130000001</v>
      </c>
      <c r="U56" s="7">
        <v>0.2079706573</v>
      </c>
      <c r="V56" s="7">
        <v>0.2019202614</v>
      </c>
      <c r="W56" s="7">
        <v>0.22348571780000009</v>
      </c>
      <c r="X56" s="7">
        <v>0.20134941100000001</v>
      </c>
      <c r="Y56" s="7">
        <v>0.21347995759999999</v>
      </c>
      <c r="Z56" s="7">
        <v>0.223041935</v>
      </c>
      <c r="AA56" s="7">
        <v>0.19849109649999999</v>
      </c>
      <c r="AB56" s="7"/>
      <c r="AC56" s="9">
        <f t="shared" si="4"/>
        <v>0.19849109649999999</v>
      </c>
      <c r="AD56" s="10" t="str">
        <f t="shared" si="5"/>
        <v>2023</v>
      </c>
      <c r="AE56" s="9">
        <f t="shared" si="6"/>
        <v>0.21196962358000002</v>
      </c>
      <c r="AF56" s="9">
        <f t="shared" si="7"/>
        <v>0</v>
      </c>
    </row>
    <row r="57" spans="1:32" x14ac:dyDescent="0.2">
      <c r="A57" s="6" t="s">
        <v>140</v>
      </c>
      <c r="B57" s="6" t="s">
        <v>141</v>
      </c>
      <c r="C57" s="6"/>
      <c r="D57" s="7">
        <v>8.316667559999999E-2</v>
      </c>
      <c r="E57" s="7">
        <v>7.7334280000000005E-2</v>
      </c>
      <c r="F57" s="7">
        <v>8.4760389299999975E-2</v>
      </c>
      <c r="G57" s="7">
        <v>7.6346120800000014E-2</v>
      </c>
      <c r="H57" s="7">
        <v>8.7462501499999998E-2</v>
      </c>
      <c r="I57" s="7">
        <v>7.8258790999999994E-2</v>
      </c>
      <c r="J57" s="7">
        <v>8.3770503999999996E-2</v>
      </c>
      <c r="K57" s="7">
        <v>9.0688610100000011E-2</v>
      </c>
      <c r="L57" s="7">
        <v>7.6645340900000011E-2</v>
      </c>
      <c r="M57" s="7">
        <v>6.3151845899999989E-2</v>
      </c>
      <c r="N57" s="7">
        <v>7.0693120999999998E-2</v>
      </c>
      <c r="O57" s="7">
        <v>7.6042318300000009E-2</v>
      </c>
      <c r="P57" s="7">
        <v>8.1286125200000003E-2</v>
      </c>
      <c r="Q57" s="7">
        <v>7.1877017000000001E-2</v>
      </c>
      <c r="R57" s="7">
        <v>7.470081810000001E-2</v>
      </c>
      <c r="S57" s="7">
        <v>6.0310936000000002E-2</v>
      </c>
      <c r="T57" s="7">
        <v>8.0409183499999995E-2</v>
      </c>
      <c r="U57" s="7">
        <v>9.1549806599999978E-2</v>
      </c>
      <c r="V57" s="7">
        <v>7.9493136399999997E-2</v>
      </c>
      <c r="W57" s="7">
        <v>6.3698492100000004E-2</v>
      </c>
      <c r="X57" s="7">
        <v>6.7297944999999998E-2</v>
      </c>
      <c r="Y57" s="7">
        <v>5.325120450000001E-2</v>
      </c>
      <c r="Z57" s="7">
        <v>6.9878234900000016E-2</v>
      </c>
      <c r="AA57" s="7">
        <v>9.4504451799999986E-2</v>
      </c>
      <c r="AB57" s="7"/>
      <c r="AC57" s="9">
        <f t="shared" si="4"/>
        <v>9.4504451799999986E-2</v>
      </c>
      <c r="AD57" s="10" t="str">
        <f t="shared" si="5"/>
        <v>2023</v>
      </c>
      <c r="AE57" s="9">
        <f t="shared" si="6"/>
        <v>6.9726065660000003E-2</v>
      </c>
      <c r="AF57" s="9">
        <f t="shared" si="7"/>
        <v>5.5495548200000008E-2</v>
      </c>
    </row>
    <row r="58" spans="1:32" x14ac:dyDescent="0.2">
      <c r="A58" s="6" t="s">
        <v>142</v>
      </c>
      <c r="B58" s="6" t="s">
        <v>143</v>
      </c>
      <c r="C58" s="6"/>
      <c r="D58" s="7">
        <v>6.5183858899999989E-2</v>
      </c>
      <c r="E58" s="7">
        <v>5.5015582999999993E-2</v>
      </c>
      <c r="F58" s="7">
        <v>4.7528080900000012E-2</v>
      </c>
      <c r="G58" s="7">
        <v>5.4588623000000003E-2</v>
      </c>
      <c r="H58" s="7">
        <v>5.6192007099999997E-2</v>
      </c>
      <c r="I58" s="7">
        <v>6.6097803099999991E-2</v>
      </c>
      <c r="J58" s="7">
        <v>6.6309614200000006E-2</v>
      </c>
      <c r="K58" s="7">
        <v>6.4638404799999993E-2</v>
      </c>
      <c r="L58" s="7">
        <v>6.5101442299999993E-2</v>
      </c>
      <c r="M58" s="7">
        <v>6.6447358100000006E-2</v>
      </c>
      <c r="N58" s="7">
        <v>7.1827902799999996E-2</v>
      </c>
      <c r="O58" s="7">
        <v>6.1674323099999998E-2</v>
      </c>
      <c r="P58" s="7">
        <v>6.2014274600000002E-2</v>
      </c>
      <c r="Q58" s="7">
        <v>6.4671025300000004E-2</v>
      </c>
      <c r="R58" s="7">
        <v>7.5054044699999989E-2</v>
      </c>
      <c r="S58" s="7">
        <v>8.2568759900000011E-2</v>
      </c>
      <c r="T58" s="7">
        <v>7.7519669499999985E-2</v>
      </c>
      <c r="U58" s="7">
        <v>7.6203293800000016E-2</v>
      </c>
      <c r="V58" s="7">
        <v>7.3461298899999999E-2</v>
      </c>
      <c r="W58" s="7">
        <v>7.7887635200000013E-2</v>
      </c>
      <c r="X58" s="7">
        <v>9.0017347300000009E-2</v>
      </c>
      <c r="Y58" s="7">
        <v>9.8200349799999989E-2</v>
      </c>
      <c r="Z58" s="7">
        <v>8.9760951999999991E-2</v>
      </c>
      <c r="AA58" s="7">
        <v>8.7699451400000003E-2</v>
      </c>
      <c r="AB58" s="7"/>
      <c r="AC58" s="9">
        <f t="shared" si="4"/>
        <v>8.7699451400000003E-2</v>
      </c>
      <c r="AD58" s="10" t="str">
        <f t="shared" si="5"/>
        <v>2023</v>
      </c>
      <c r="AE58" s="9">
        <f t="shared" si="6"/>
        <v>8.8713147140000004E-2</v>
      </c>
      <c r="AF58" s="9">
        <f t="shared" si="7"/>
        <v>6.2300548599999991E-2</v>
      </c>
    </row>
    <row r="59" spans="1:32" x14ac:dyDescent="0.2">
      <c r="A59" s="6" t="s">
        <v>144</v>
      </c>
      <c r="B59" s="6" t="s">
        <v>145</v>
      </c>
      <c r="C59" s="6"/>
      <c r="D59" s="7">
        <v>8.5279445600000003E-2</v>
      </c>
      <c r="E59" s="7">
        <v>9.7118463499999988E-2</v>
      </c>
      <c r="F59" s="7">
        <v>0.1153735256</v>
      </c>
      <c r="G59" s="7">
        <v>9.5935363799999993E-2</v>
      </c>
      <c r="H59" s="7">
        <v>0.15250319479999999</v>
      </c>
      <c r="I59" s="7">
        <v>0.13576660160000001</v>
      </c>
      <c r="J59" s="7">
        <v>0.12890508649999999</v>
      </c>
      <c r="K59" s="7">
        <v>0.13181109429999999</v>
      </c>
      <c r="L59" s="7">
        <v>0.12721592900000001</v>
      </c>
      <c r="M59" s="7">
        <v>0.1287592316</v>
      </c>
      <c r="N59" s="7">
        <v>0.13626919749999999</v>
      </c>
      <c r="O59" s="7">
        <v>0.13036990170000001</v>
      </c>
      <c r="P59" s="7">
        <v>0.1317397022</v>
      </c>
      <c r="Q59" s="7">
        <v>0.1249917507</v>
      </c>
      <c r="R59" s="7">
        <v>0.1275728226</v>
      </c>
      <c r="S59" s="7">
        <v>0.1221473503</v>
      </c>
      <c r="T59" s="7">
        <v>0.12208033560000001</v>
      </c>
      <c r="U59" s="7">
        <v>0.11645920749999999</v>
      </c>
      <c r="V59" s="7">
        <v>0.1202570248</v>
      </c>
      <c r="W59" s="7">
        <v>0.121204834</v>
      </c>
      <c r="X59" s="7">
        <v>0.12376142499999999</v>
      </c>
      <c r="Y59" s="7">
        <v>0.14621914859999999</v>
      </c>
      <c r="Z59" s="7">
        <v>0.1234735298</v>
      </c>
      <c r="AA59" s="7">
        <v>0.120681181</v>
      </c>
      <c r="AB59" s="7"/>
      <c r="AC59" s="9">
        <f t="shared" si="4"/>
        <v>0.120681181</v>
      </c>
      <c r="AD59" s="10" t="str">
        <f t="shared" si="5"/>
        <v>2023</v>
      </c>
      <c r="AE59" s="9">
        <f t="shared" si="6"/>
        <v>0.12706802368</v>
      </c>
      <c r="AF59" s="9">
        <f t="shared" si="7"/>
        <v>2.9318818999999996E-2</v>
      </c>
    </row>
    <row r="60" spans="1:32" x14ac:dyDescent="0.2">
      <c r="A60" s="6" t="s">
        <v>146</v>
      </c>
      <c r="B60" s="6" t="s">
        <v>147</v>
      </c>
      <c r="C60" s="6" t="s">
        <v>49</v>
      </c>
      <c r="D60" s="7">
        <v>3.5436115299999987E-2</v>
      </c>
      <c r="E60" s="7">
        <v>3.6613051899999999E-2</v>
      </c>
      <c r="F60" s="7">
        <v>3.7057266200000001E-2</v>
      </c>
      <c r="G60" s="7">
        <v>0.12454895019999999</v>
      </c>
      <c r="H60" s="7">
        <v>0.1078895473</v>
      </c>
      <c r="I60" s="7">
        <v>8.0927190800000007E-2</v>
      </c>
      <c r="J60" s="7">
        <v>7.2027006099999985E-2</v>
      </c>
      <c r="K60" s="7">
        <v>7.7929072400000007E-2</v>
      </c>
      <c r="L60" s="7">
        <v>8.0763215999999985E-2</v>
      </c>
      <c r="M60" s="7">
        <v>8.4302444500000004E-2</v>
      </c>
      <c r="N60" s="7">
        <v>8.5564241400000005E-2</v>
      </c>
      <c r="O60" s="7">
        <v>8.9006795899999991E-2</v>
      </c>
      <c r="P60" s="7">
        <v>8.3630180400000004E-2</v>
      </c>
      <c r="Q60" s="7">
        <v>8.3041181599999986E-2</v>
      </c>
      <c r="R60" s="7">
        <v>7.981906409999999E-2</v>
      </c>
      <c r="S60" s="7">
        <v>7.9149455999999979E-2</v>
      </c>
      <c r="T60" s="7">
        <v>6.2302460700000013E-2</v>
      </c>
      <c r="U60" s="8">
        <v>6.2302460700000013E-2</v>
      </c>
      <c r="V60" s="8">
        <v>6.2302460700000013E-2</v>
      </c>
      <c r="W60" s="7">
        <v>6.2761535600000001E-2</v>
      </c>
      <c r="X60" s="7">
        <v>6.3912997200000016E-2</v>
      </c>
      <c r="Y60" s="7">
        <v>8.3519449199999998E-2</v>
      </c>
      <c r="Z60" s="7">
        <v>8.2025327700000011E-2</v>
      </c>
      <c r="AA60" s="7">
        <v>8.9230985599999979E-2</v>
      </c>
      <c r="AB60" s="7"/>
      <c r="AC60" s="9">
        <f t="shared" si="4"/>
        <v>8.9230985599999979E-2</v>
      </c>
      <c r="AD60" s="10" t="str">
        <f t="shared" si="5"/>
        <v>2023</v>
      </c>
      <c r="AE60" s="9">
        <f t="shared" si="6"/>
        <v>7.6290059059999998E-2</v>
      </c>
      <c r="AF60" s="9">
        <f t="shared" si="7"/>
        <v>6.0769014400000015E-2</v>
      </c>
    </row>
    <row r="61" spans="1:32" x14ac:dyDescent="0.2">
      <c r="A61" s="6" t="s">
        <v>148</v>
      </c>
      <c r="B61" s="6" t="s">
        <v>149</v>
      </c>
      <c r="C61" s="6"/>
      <c r="D61" s="7">
        <v>0.32571323390000001</v>
      </c>
      <c r="E61" s="7">
        <v>7.0269260400000005E-2</v>
      </c>
      <c r="F61" s="7">
        <v>8.5408086800000019E-2</v>
      </c>
      <c r="G61" s="7">
        <v>0.1167833424</v>
      </c>
      <c r="H61" s="7">
        <v>8.5635900500000015E-2</v>
      </c>
      <c r="I61" s="7">
        <v>0.1151896095</v>
      </c>
      <c r="J61" s="7">
        <v>1.6916550400000001E-2</v>
      </c>
      <c r="K61" s="7">
        <v>4.2763843499999989E-2</v>
      </c>
      <c r="L61" s="7">
        <v>4.0179758099999997E-2</v>
      </c>
      <c r="M61" s="7">
        <v>3.2723731999999998E-2</v>
      </c>
      <c r="N61" s="7">
        <v>4.1002845799999993E-2</v>
      </c>
      <c r="O61" s="7">
        <v>4.3093619299999997E-2</v>
      </c>
      <c r="P61" s="7">
        <v>4.5668697399999993E-2</v>
      </c>
      <c r="Q61" s="7">
        <v>8.4400892300000016E-2</v>
      </c>
      <c r="R61" s="7">
        <v>7.7758140599999997E-2</v>
      </c>
      <c r="S61" s="7">
        <v>4.9368410100000003E-2</v>
      </c>
      <c r="T61" s="7">
        <v>8.002157209999998E-2</v>
      </c>
      <c r="U61" s="7">
        <v>0.10762633319999999</v>
      </c>
      <c r="V61" s="7">
        <v>9.3856687500000008E-2</v>
      </c>
      <c r="W61" s="7">
        <v>9.7778043700000025E-2</v>
      </c>
      <c r="X61" s="7">
        <v>0.12803995130000001</v>
      </c>
      <c r="Y61" s="7">
        <v>0.1314262199</v>
      </c>
      <c r="Z61" s="7">
        <v>8.3445749299999983E-2</v>
      </c>
      <c r="AA61" s="7">
        <v>8.7735280999999998E-2</v>
      </c>
      <c r="AB61" s="7"/>
      <c r="AC61" s="9">
        <f t="shared" si="4"/>
        <v>8.7735280999999998E-2</v>
      </c>
      <c r="AD61" s="10" t="str">
        <f t="shared" si="5"/>
        <v>2023</v>
      </c>
      <c r="AE61" s="9">
        <f t="shared" si="6"/>
        <v>0.10568504904000001</v>
      </c>
      <c r="AF61" s="9">
        <f t="shared" si="7"/>
        <v>6.2264718999999996E-2</v>
      </c>
    </row>
    <row r="62" spans="1:32" x14ac:dyDescent="0.2">
      <c r="A62" s="6" t="s">
        <v>150</v>
      </c>
      <c r="B62" s="6" t="s">
        <v>151</v>
      </c>
      <c r="C62" s="6"/>
      <c r="D62" s="7">
        <v>8.9599494900000021E-2</v>
      </c>
      <c r="E62" s="7">
        <v>9.010532379999997E-2</v>
      </c>
      <c r="F62" s="7">
        <v>8.6363592099999983E-2</v>
      </c>
      <c r="G62" s="7">
        <v>9.0478830299999993E-2</v>
      </c>
      <c r="H62" s="7">
        <v>8.9669704400000008E-2</v>
      </c>
      <c r="I62" s="7">
        <v>8.5441350900000004E-2</v>
      </c>
      <c r="J62" s="7">
        <v>8.2667284000000021E-2</v>
      </c>
      <c r="K62" s="7">
        <v>5.9480786299999998E-2</v>
      </c>
      <c r="L62" s="7">
        <v>6.6248149900000011E-2</v>
      </c>
      <c r="M62" s="7">
        <v>6.6602740299999977E-2</v>
      </c>
      <c r="N62" s="7">
        <v>5.3533253700000012E-2</v>
      </c>
      <c r="O62" s="7">
        <v>5.6281166100000009E-2</v>
      </c>
      <c r="P62" s="7">
        <v>5.3075590099999993E-2</v>
      </c>
      <c r="Q62" s="7">
        <v>5.2999319999999989E-2</v>
      </c>
      <c r="R62" s="7">
        <v>4.6755113600000002E-2</v>
      </c>
      <c r="S62" s="7">
        <v>4.6987032900000003E-2</v>
      </c>
      <c r="T62" s="7">
        <v>4.45693302E-2</v>
      </c>
      <c r="U62" s="7">
        <v>4.4990048400000003E-2</v>
      </c>
      <c r="V62" s="7">
        <v>4.9615187599999999E-2</v>
      </c>
      <c r="W62" s="7">
        <v>3.5002796599999997E-2</v>
      </c>
      <c r="X62" s="7">
        <v>5.84758186E-2</v>
      </c>
      <c r="Y62" s="7">
        <v>3.8772430400000002E-2</v>
      </c>
      <c r="Z62" s="7">
        <v>3.3444905300000001E-2</v>
      </c>
      <c r="AA62" s="7">
        <v>3.574546339999999E-2</v>
      </c>
      <c r="AB62" s="7"/>
      <c r="AC62" s="9">
        <f t="shared" si="4"/>
        <v>3.574546339999999E-2</v>
      </c>
      <c r="AD62" s="10" t="str">
        <f t="shared" si="5"/>
        <v>2023</v>
      </c>
      <c r="AE62" s="9">
        <f t="shared" si="6"/>
        <v>4.0288282859999996E-2</v>
      </c>
      <c r="AF62" s="9">
        <f t="shared" si="7"/>
        <v>0.11425453660000001</v>
      </c>
    </row>
    <row r="63" spans="1:32" x14ac:dyDescent="0.2">
      <c r="A63" s="6" t="s">
        <v>152</v>
      </c>
      <c r="B63" s="6" t="s">
        <v>153</v>
      </c>
      <c r="C63" s="6" t="s">
        <v>49</v>
      </c>
      <c r="D63" s="7">
        <v>5.450975420000001E-2</v>
      </c>
      <c r="E63" s="8">
        <v>5.450975420000001E-2</v>
      </c>
      <c r="F63" s="8">
        <v>5.450975420000001E-2</v>
      </c>
      <c r="G63" s="8">
        <v>5.450975420000001E-2</v>
      </c>
      <c r="H63" s="8">
        <v>5.450975420000001E-2</v>
      </c>
      <c r="I63" s="8">
        <v>5.450975420000001E-2</v>
      </c>
      <c r="J63" s="8">
        <v>5.450975420000001E-2</v>
      </c>
      <c r="K63" s="8">
        <v>5.450975420000001E-2</v>
      </c>
      <c r="L63" s="7">
        <v>4.4130363499999999E-2</v>
      </c>
      <c r="M63" s="7">
        <v>5.6055417099999998E-2</v>
      </c>
      <c r="N63" s="7">
        <v>6.5142416999999994E-2</v>
      </c>
      <c r="O63" s="7">
        <v>5.3543300600000003E-2</v>
      </c>
      <c r="P63" s="7">
        <v>4.7532110200000012E-2</v>
      </c>
      <c r="Q63" s="7">
        <v>5.1501288399999998E-2</v>
      </c>
      <c r="R63" s="7">
        <v>7.5798845300000015E-2</v>
      </c>
      <c r="S63" s="7">
        <v>6.2052178399999977E-2</v>
      </c>
      <c r="T63" s="7">
        <v>4.4451131800000002E-2</v>
      </c>
      <c r="U63" s="7">
        <v>3.6321120300000002E-2</v>
      </c>
      <c r="V63" s="7">
        <v>3.5992188500000008E-2</v>
      </c>
      <c r="W63" s="7">
        <v>5.84172201E-2</v>
      </c>
      <c r="X63" s="7">
        <v>5.3023967699999987E-2</v>
      </c>
      <c r="Y63" s="7">
        <v>5.6669006299999991E-2</v>
      </c>
      <c r="Z63" s="7">
        <v>4.4684481599999992E-2</v>
      </c>
      <c r="AA63" s="8">
        <v>4.4684481599999992E-2</v>
      </c>
      <c r="AB63" s="7"/>
      <c r="AC63" s="9">
        <f t="shared" si="4"/>
        <v>4.4684481599999992E-2</v>
      </c>
      <c r="AD63" s="10" t="str">
        <f t="shared" si="5"/>
        <v>2023</v>
      </c>
      <c r="AE63" s="9">
        <f t="shared" si="6"/>
        <v>5.1495831459999988E-2</v>
      </c>
      <c r="AF63" s="9">
        <f t="shared" si="7"/>
        <v>0.1053155184</v>
      </c>
    </row>
    <row r="64" spans="1:32" x14ac:dyDescent="0.2">
      <c r="A64" s="6" t="s">
        <v>154</v>
      </c>
      <c r="B64" s="6" t="s">
        <v>155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5.7628288300000011E-2</v>
      </c>
      <c r="R64" s="7">
        <v>4.1115641600000002E-2</v>
      </c>
      <c r="S64" s="7">
        <v>5.251731870000001E-2</v>
      </c>
      <c r="T64" s="7">
        <v>5.7761182799999998E-2</v>
      </c>
      <c r="U64" s="7">
        <v>4.7264437699999988E-2</v>
      </c>
      <c r="V64" s="7">
        <v>4.0835618999999997E-2</v>
      </c>
      <c r="W64" s="7">
        <v>4.1364955900000007E-2</v>
      </c>
      <c r="X64" s="7">
        <v>4.2128167200000011E-2</v>
      </c>
      <c r="Y64" s="7">
        <v>7.1242856999999993E-2</v>
      </c>
      <c r="Z64" s="7">
        <v>4.4200739899999987E-2</v>
      </c>
      <c r="AA64" s="7">
        <v>7.9044699700000012E-2</v>
      </c>
      <c r="AB64" s="7"/>
      <c r="AC64" s="9">
        <f t="shared" si="4"/>
        <v>7.9044699700000012E-2</v>
      </c>
      <c r="AD64" s="10" t="str">
        <f t="shared" si="5"/>
        <v>2023</v>
      </c>
      <c r="AE64" s="9">
        <f t="shared" si="6"/>
        <v>5.5596283940000005E-2</v>
      </c>
      <c r="AF64" s="9">
        <f t="shared" si="7"/>
        <v>7.0955300299999982E-2</v>
      </c>
    </row>
    <row r="65" spans="1:32" x14ac:dyDescent="0.2">
      <c r="A65" s="6" t="s">
        <v>156</v>
      </c>
      <c r="B65" s="6" t="s">
        <v>157</v>
      </c>
      <c r="C65" s="6"/>
      <c r="D65" s="7">
        <v>0.1185530758</v>
      </c>
      <c r="E65" s="7">
        <v>0.1062284565</v>
      </c>
      <c r="F65" s="7">
        <v>0.1037981224</v>
      </c>
      <c r="G65" s="7">
        <v>0.1233823776</v>
      </c>
      <c r="H65" s="7">
        <v>0.120292511</v>
      </c>
      <c r="I65" s="7">
        <v>0.1091880608</v>
      </c>
      <c r="J65" s="7">
        <v>0.13095091819999999</v>
      </c>
      <c r="K65" s="7">
        <v>0.13509318349999999</v>
      </c>
      <c r="L65" s="7">
        <v>0.1301471424</v>
      </c>
      <c r="M65" s="7">
        <v>0.1336997318</v>
      </c>
      <c r="N65" s="7">
        <v>0.1411525917</v>
      </c>
      <c r="O65" s="7">
        <v>0.1467442226</v>
      </c>
      <c r="P65" s="7">
        <v>0.14467313770000001</v>
      </c>
      <c r="Q65" s="7">
        <v>0.14337916370000001</v>
      </c>
      <c r="R65" s="7">
        <v>0.14916127200000001</v>
      </c>
      <c r="S65" s="7">
        <v>0.15237735749999989</v>
      </c>
      <c r="T65" s="7">
        <v>0.1528983974</v>
      </c>
      <c r="U65" s="8">
        <v>0.1528983974</v>
      </c>
      <c r="V65" s="8">
        <v>0.1528983974</v>
      </c>
      <c r="W65" s="8">
        <v>0.1528983974</v>
      </c>
      <c r="X65" s="7">
        <v>0.16885675429999999</v>
      </c>
      <c r="Y65" s="8">
        <v>0.16885675429999999</v>
      </c>
      <c r="Z65" s="8">
        <v>0.16885675429999999</v>
      </c>
      <c r="AA65" s="8">
        <v>0.16885675429999999</v>
      </c>
      <c r="AB65" s="7"/>
      <c r="AC65" s="9">
        <f t="shared" si="4"/>
        <v>0.16885675429999999</v>
      </c>
      <c r="AD65" s="10" t="str">
        <f t="shared" si="5"/>
        <v>2023</v>
      </c>
      <c r="AE65" s="9">
        <f t="shared" si="6"/>
        <v>0.16566508292000001</v>
      </c>
      <c r="AF65" s="9">
        <f t="shared" si="7"/>
        <v>0</v>
      </c>
    </row>
    <row r="66" spans="1:32" x14ac:dyDescent="0.2">
      <c r="A66" s="6" t="s">
        <v>158</v>
      </c>
      <c r="B66" s="6" t="s">
        <v>159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>
        <v>2.10620522E-2</v>
      </c>
      <c r="V66" s="8">
        <v>2.10620522E-2</v>
      </c>
      <c r="W66" s="8">
        <v>2.10620522E-2</v>
      </c>
      <c r="X66" s="8">
        <v>2.10620522E-2</v>
      </c>
      <c r="Y66" s="8">
        <v>2.10620522E-2</v>
      </c>
      <c r="Z66" s="8">
        <v>2.10620522E-2</v>
      </c>
      <c r="AA66" s="7">
        <v>2.1358618699999998E-2</v>
      </c>
      <c r="AB66" s="7"/>
      <c r="AC66" s="9">
        <f t="shared" si="4"/>
        <v>2.1358618699999998E-2</v>
      </c>
      <c r="AD66" s="10" t="str">
        <f t="shared" si="5"/>
        <v>2023</v>
      </c>
      <c r="AE66" s="9">
        <f t="shared" si="6"/>
        <v>2.1121365499999999E-2</v>
      </c>
      <c r="AF66" s="9">
        <f t="shared" si="7"/>
        <v>0.1286413813</v>
      </c>
    </row>
    <row r="67" spans="1:32" x14ac:dyDescent="0.2">
      <c r="A67" s="6" t="s">
        <v>160</v>
      </c>
      <c r="B67" s="6" t="s">
        <v>161</v>
      </c>
      <c r="C67" s="6"/>
      <c r="D67" s="7">
        <v>4.8929662700000008E-2</v>
      </c>
      <c r="E67" s="7">
        <v>5.0574712799999998E-2</v>
      </c>
      <c r="F67" s="7">
        <v>4.2187500000000003E-2</v>
      </c>
      <c r="G67" s="7">
        <v>4.0352811799999999E-2</v>
      </c>
      <c r="H67" s="7">
        <v>4.4186048499999991E-2</v>
      </c>
      <c r="I67" s="7">
        <v>4.3151516899999992E-2</v>
      </c>
      <c r="J67" s="7">
        <v>4.3291769000000001E-2</v>
      </c>
      <c r="K67" s="7">
        <v>5.3002309800000001E-2</v>
      </c>
      <c r="L67" s="7">
        <v>6.7886295299999996E-2</v>
      </c>
      <c r="M67" s="7">
        <v>4.5913758300000003E-2</v>
      </c>
      <c r="N67" s="7">
        <v>4.5633802399999999E-2</v>
      </c>
      <c r="O67" s="7">
        <v>5.3759760899999988E-2</v>
      </c>
      <c r="P67" s="7">
        <v>6.5030193299999983E-2</v>
      </c>
      <c r="Q67" s="7">
        <v>6.8673086199999983E-2</v>
      </c>
      <c r="R67" s="7">
        <v>7.5624551799999995E-2</v>
      </c>
      <c r="S67" s="7">
        <v>6.4093766200000013E-2</v>
      </c>
      <c r="T67" s="7">
        <v>6.0942478199999997E-2</v>
      </c>
      <c r="U67" s="7">
        <v>5.8856773399999993E-2</v>
      </c>
      <c r="V67" s="7">
        <v>6.1445789299999991E-2</v>
      </c>
      <c r="W67" s="7">
        <v>6.5859360699999994E-2</v>
      </c>
      <c r="X67" s="7">
        <v>7.3759446100000001E-2</v>
      </c>
      <c r="Y67" s="7">
        <v>7.0209379199999991E-2</v>
      </c>
      <c r="Z67" s="7">
        <v>6.3917908700000012E-2</v>
      </c>
      <c r="AA67" s="7">
        <v>6.1385097499999992E-2</v>
      </c>
      <c r="AB67" s="7"/>
      <c r="AC67" s="9">
        <f t="shared" si="4"/>
        <v>6.1385097499999992E-2</v>
      </c>
      <c r="AD67" s="10" t="str">
        <f t="shared" si="5"/>
        <v>2023</v>
      </c>
      <c r="AE67" s="9">
        <f t="shared" si="6"/>
        <v>6.7026238439999997E-2</v>
      </c>
      <c r="AF67" s="9">
        <f t="shared" si="7"/>
        <v>8.8614902500000009E-2</v>
      </c>
    </row>
    <row r="68" spans="1:32" x14ac:dyDescent="0.2">
      <c r="A68" s="6" t="s">
        <v>162</v>
      </c>
      <c r="B68" s="6" t="s">
        <v>163</v>
      </c>
      <c r="C68" s="6"/>
      <c r="D68" s="7"/>
      <c r="E68" s="7"/>
      <c r="F68" s="7"/>
      <c r="G68" s="7">
        <v>1.62494636E-2</v>
      </c>
      <c r="H68" s="7">
        <v>2.2540574100000009E-2</v>
      </c>
      <c r="I68" s="7">
        <v>3.6345334100000001E-2</v>
      </c>
      <c r="J68" s="7">
        <v>4.0001564000000003E-2</v>
      </c>
      <c r="K68" s="7">
        <v>1.27376139E-2</v>
      </c>
      <c r="L68" s="7">
        <v>2.7769403500000001E-2</v>
      </c>
      <c r="M68" s="7">
        <v>2.6631960900000001E-2</v>
      </c>
      <c r="N68" s="7">
        <v>2.71049976E-2</v>
      </c>
      <c r="O68" s="7">
        <v>2.676809790000001E-2</v>
      </c>
      <c r="P68" s="7">
        <v>3.2064051599999997E-2</v>
      </c>
      <c r="Q68" s="7">
        <v>4.6244411500000013E-2</v>
      </c>
      <c r="R68" s="7">
        <v>3.7185554500000009E-2</v>
      </c>
      <c r="S68" s="7">
        <v>4.5054521600000001E-2</v>
      </c>
      <c r="T68" s="7">
        <v>3.071739200000001E-2</v>
      </c>
      <c r="U68" s="7">
        <v>5.1460442500000002E-2</v>
      </c>
      <c r="V68" s="7">
        <v>4.6211514500000009E-2</v>
      </c>
      <c r="W68" s="7">
        <v>4.1934099200000012E-2</v>
      </c>
      <c r="X68" s="7">
        <v>6.5902075800000001E-2</v>
      </c>
      <c r="Y68" s="7">
        <v>6.9707312599999988E-2</v>
      </c>
      <c r="Z68" s="7">
        <v>8.9028816200000027E-2</v>
      </c>
      <c r="AA68" s="7">
        <v>9.1623792600000004E-2</v>
      </c>
      <c r="AB68" s="7"/>
      <c r="AC68" s="9">
        <f t="shared" si="4"/>
        <v>9.1623792600000004E-2</v>
      </c>
      <c r="AD68" s="10" t="str">
        <f t="shared" si="5"/>
        <v>2023</v>
      </c>
      <c r="AE68" s="9">
        <f t="shared" si="6"/>
        <v>7.1639219280000013E-2</v>
      </c>
      <c r="AF68" s="9">
        <f t="shared" si="7"/>
        <v>5.8376207399999991E-2</v>
      </c>
    </row>
    <row r="69" spans="1:32" x14ac:dyDescent="0.2">
      <c r="A69" s="6" t="s">
        <v>164</v>
      </c>
      <c r="B69" s="6" t="s">
        <v>165</v>
      </c>
      <c r="C69" s="6"/>
      <c r="D69" s="7">
        <v>2.44484162E-2</v>
      </c>
      <c r="E69" s="7">
        <v>2.99478221E-2</v>
      </c>
      <c r="F69" s="7">
        <v>4.051334379999999E-2</v>
      </c>
      <c r="G69" s="7">
        <v>4.2420878400000007E-2</v>
      </c>
      <c r="H69" s="7">
        <v>4.2055535299999988E-2</v>
      </c>
      <c r="I69" s="7">
        <v>3.8008155799999999E-2</v>
      </c>
      <c r="J69" s="7">
        <v>3.8319191900000001E-2</v>
      </c>
      <c r="K69" s="7">
        <v>4.3449535400000003E-2</v>
      </c>
      <c r="L69" s="7">
        <v>4.8437166200000013E-2</v>
      </c>
      <c r="M69" s="7">
        <v>4.7768583300000007E-2</v>
      </c>
      <c r="N69" s="7">
        <v>7.4458599099999981E-2</v>
      </c>
      <c r="O69" s="7">
        <v>5.6692528700000001E-2</v>
      </c>
      <c r="P69" s="7">
        <v>6.1090674400000003E-2</v>
      </c>
      <c r="Q69" s="7">
        <v>4.6896562599999997E-2</v>
      </c>
      <c r="R69" s="7">
        <v>4.5581021300000003E-2</v>
      </c>
      <c r="S69" s="7">
        <v>4.03825331E-2</v>
      </c>
      <c r="T69" s="7">
        <v>4.2586369500000013E-2</v>
      </c>
      <c r="U69" s="7">
        <v>6.4504060700000018E-2</v>
      </c>
      <c r="V69" s="7">
        <v>5.4890213E-2</v>
      </c>
      <c r="W69" s="7">
        <v>5.3817400899999993E-2</v>
      </c>
      <c r="X69" s="7">
        <v>3.8512246599999987E-2</v>
      </c>
      <c r="Y69" s="7">
        <v>2.5608844799999999E-2</v>
      </c>
      <c r="Z69" s="8">
        <v>2.5608844799999999E-2</v>
      </c>
      <c r="AA69" s="8">
        <v>2.5608844799999999E-2</v>
      </c>
      <c r="AB69" s="7"/>
      <c r="AC69" s="9">
        <f t="shared" ref="AC69:AC100" si="8">LOOKUP(9.99E+307,D69:AB69)</f>
        <v>2.5608844799999999E-2</v>
      </c>
      <c r="AD69" s="10" t="str">
        <f t="shared" ref="AD69:AD75" si="9">LOOKUP(9.99E+307,D69:AB69,D$4:AB$4)</f>
        <v>2023</v>
      </c>
      <c r="AE69" s="9">
        <f t="shared" ref="AE69:AE75" si="10">IFERROR(AVERAGE(W69:AB69),"")</f>
        <v>3.3831236379999997E-2</v>
      </c>
      <c r="AF69" s="9">
        <f t="shared" ref="AF69:AF75" si="11">MAX(0,$B$2-AC69)</f>
        <v>0.12439115519999999</v>
      </c>
    </row>
    <row r="70" spans="1:32" x14ac:dyDescent="0.2">
      <c r="A70" s="6" t="s">
        <v>166</v>
      </c>
      <c r="B70" s="6" t="s">
        <v>167</v>
      </c>
      <c r="C70" s="6" t="s">
        <v>49</v>
      </c>
      <c r="D70" s="7">
        <v>8.3307647699999987E-2</v>
      </c>
      <c r="E70" s="8">
        <v>8.3307647699999987E-2</v>
      </c>
      <c r="F70" s="7">
        <v>8.7481050500000018E-2</v>
      </c>
      <c r="G70" s="7">
        <v>8.9497604400000028E-2</v>
      </c>
      <c r="H70" s="7">
        <v>8.7673616400000001E-2</v>
      </c>
      <c r="I70" s="7">
        <v>7.1352629700000017E-2</v>
      </c>
      <c r="J70" s="7">
        <v>7.1609377900000007E-2</v>
      </c>
      <c r="K70" s="7">
        <v>7.7929120099999999E-2</v>
      </c>
      <c r="L70" s="7">
        <v>7.2511458400000006E-2</v>
      </c>
      <c r="M70" s="7">
        <v>7.0329055799999998E-2</v>
      </c>
      <c r="N70" s="7">
        <v>7.1137475999999991E-2</v>
      </c>
      <c r="O70" s="7">
        <v>6.8970098499999993E-2</v>
      </c>
      <c r="P70" s="7">
        <v>7.0504431700000009E-2</v>
      </c>
      <c r="Q70" s="7">
        <v>7.3242754899999998E-2</v>
      </c>
      <c r="R70" s="7">
        <v>7.008980749999999E-2</v>
      </c>
      <c r="S70" s="7">
        <v>5.0845341699999998E-2</v>
      </c>
      <c r="T70" s="7">
        <v>5.1781930899999988E-2</v>
      </c>
      <c r="U70" s="7">
        <v>3.9216382499999987E-2</v>
      </c>
      <c r="V70" s="7">
        <v>4.1681151399999991E-2</v>
      </c>
      <c r="W70" s="7">
        <v>3.1388299500000008E-2</v>
      </c>
      <c r="X70" s="7">
        <v>5.5540356599999993E-2</v>
      </c>
      <c r="Y70" s="7">
        <v>5.3535799999999988E-2</v>
      </c>
      <c r="Z70" s="7">
        <v>4.8603987699999997E-2</v>
      </c>
      <c r="AA70" s="8">
        <v>4.8603987699999997E-2</v>
      </c>
      <c r="AB70" s="7"/>
      <c r="AC70" s="9">
        <f t="shared" si="8"/>
        <v>4.8603987699999997E-2</v>
      </c>
      <c r="AD70" s="10" t="str">
        <f t="shared" si="9"/>
        <v>2023</v>
      </c>
      <c r="AE70" s="9">
        <f t="shared" si="10"/>
        <v>4.7534486299999998E-2</v>
      </c>
      <c r="AF70" s="9">
        <f t="shared" si="11"/>
        <v>0.1013960123</v>
      </c>
    </row>
    <row r="71" spans="1:32" x14ac:dyDescent="0.2">
      <c r="A71" s="6" t="s">
        <v>168</v>
      </c>
      <c r="B71" s="6" t="s">
        <v>169</v>
      </c>
      <c r="C71" s="6"/>
      <c r="D71" s="7">
        <v>6.0520005199999991E-2</v>
      </c>
      <c r="E71" s="7">
        <v>8.7993106799999998E-2</v>
      </c>
      <c r="F71" s="7">
        <v>9.78842449E-2</v>
      </c>
      <c r="G71" s="7">
        <v>9.7085170700000015E-2</v>
      </c>
      <c r="H71" s="7">
        <v>0.1155348301</v>
      </c>
      <c r="I71" s="7">
        <v>0.12619913099999999</v>
      </c>
      <c r="J71" s="7">
        <v>0.1350882816</v>
      </c>
      <c r="K71" s="7">
        <v>0.1088657188</v>
      </c>
      <c r="L71" s="7">
        <v>0.1248550034</v>
      </c>
      <c r="M71" s="7">
        <v>7.5839614899999977E-2</v>
      </c>
      <c r="N71" s="7">
        <v>7.3213796599999992E-2</v>
      </c>
      <c r="O71" s="7">
        <v>6.7621192900000016E-2</v>
      </c>
      <c r="P71" s="7">
        <v>6.0057139399999987E-2</v>
      </c>
      <c r="Q71" s="7">
        <v>6.3068623500000004E-2</v>
      </c>
      <c r="R71" s="7">
        <v>6.9378466599999994E-2</v>
      </c>
      <c r="S71" s="7">
        <v>7.3306293500000008E-2</v>
      </c>
      <c r="T71" s="7">
        <v>9.5214338299999993E-2</v>
      </c>
      <c r="U71" s="8">
        <v>9.5214338299999993E-2</v>
      </c>
      <c r="V71" s="7">
        <v>9.4147319800000004E-2</v>
      </c>
      <c r="W71" s="7">
        <v>9.4380102199999982E-2</v>
      </c>
      <c r="X71" s="7">
        <v>4.9400014900000011E-2</v>
      </c>
      <c r="Y71" s="7">
        <v>5.1351699799999991E-2</v>
      </c>
      <c r="Z71" s="8">
        <v>5.1351699799999991E-2</v>
      </c>
      <c r="AA71" s="8">
        <v>5.1351699799999991E-2</v>
      </c>
      <c r="AB71" s="7"/>
      <c r="AC71" s="9">
        <f t="shared" si="8"/>
        <v>5.1351699799999991E-2</v>
      </c>
      <c r="AD71" s="10" t="str">
        <f t="shared" si="9"/>
        <v>2023</v>
      </c>
      <c r="AE71" s="9">
        <f t="shared" si="10"/>
        <v>5.956704329999999E-2</v>
      </c>
      <c r="AF71" s="9">
        <f t="shared" si="11"/>
        <v>9.8648300200000011E-2</v>
      </c>
    </row>
    <row r="72" spans="1:32" x14ac:dyDescent="0.2">
      <c r="A72" s="6" t="s">
        <v>170</v>
      </c>
      <c r="B72" s="6" t="s">
        <v>171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1.6975510100000001E-2</v>
      </c>
      <c r="W72" s="7">
        <v>1.6100202800000001E-2</v>
      </c>
      <c r="X72" s="7">
        <v>5.8499622299999998E-2</v>
      </c>
      <c r="Y72" s="7">
        <v>4.4399552299999999E-2</v>
      </c>
      <c r="Z72" s="7">
        <v>5.8742647200000012E-2</v>
      </c>
      <c r="AA72" s="7">
        <v>3.62696505E-2</v>
      </c>
      <c r="AB72" s="7"/>
      <c r="AC72" s="9">
        <f t="shared" si="8"/>
        <v>3.62696505E-2</v>
      </c>
      <c r="AD72" s="10" t="str">
        <f t="shared" si="9"/>
        <v>2023</v>
      </c>
      <c r="AE72" s="9">
        <f t="shared" si="10"/>
        <v>4.2802335019999999E-2</v>
      </c>
      <c r="AF72" s="9">
        <f t="shared" si="11"/>
        <v>0.11373034949999999</v>
      </c>
    </row>
    <row r="73" spans="1:32" x14ac:dyDescent="0.2">
      <c r="A73" s="6" t="s">
        <v>172</v>
      </c>
      <c r="B73" s="6" t="s">
        <v>173</v>
      </c>
      <c r="C73" s="6"/>
      <c r="D73" s="7">
        <v>9.4822588000000027E-2</v>
      </c>
      <c r="E73" s="7">
        <v>8.2020778700000005E-2</v>
      </c>
      <c r="F73" s="7">
        <v>8.6199598300000013E-2</v>
      </c>
      <c r="G73" s="7">
        <v>7.1603307699999993E-2</v>
      </c>
      <c r="H73" s="7">
        <v>8.6892518999999988E-2</v>
      </c>
      <c r="I73" s="7">
        <v>8.6692390399999986E-2</v>
      </c>
      <c r="J73" s="7">
        <v>8.7669868499999984E-2</v>
      </c>
      <c r="K73" s="7">
        <v>7.9369111099999987E-2</v>
      </c>
      <c r="L73" s="7">
        <v>8.1204872099999992E-2</v>
      </c>
      <c r="M73" s="7">
        <v>6.8530106500000021E-2</v>
      </c>
      <c r="N73" s="7">
        <v>8.6057291000000008E-2</v>
      </c>
      <c r="O73" s="7">
        <v>9.1072073000000003E-2</v>
      </c>
      <c r="P73" s="7">
        <v>9.5150404000000008E-2</v>
      </c>
      <c r="Q73" s="7">
        <v>8.1612138699999989E-2</v>
      </c>
      <c r="R73" s="7">
        <v>9.1232414200000014E-2</v>
      </c>
      <c r="S73" s="7">
        <v>8.4938516600000014E-2</v>
      </c>
      <c r="T73" s="7">
        <v>9.5965862299999996E-2</v>
      </c>
      <c r="U73" s="7">
        <v>0.10093238829999999</v>
      </c>
      <c r="V73" s="7">
        <v>0.1021770763</v>
      </c>
      <c r="W73" s="7">
        <v>0.1019859123</v>
      </c>
      <c r="X73" s="7">
        <v>8.42611885E-2</v>
      </c>
      <c r="Y73" s="7">
        <v>9.7406949999999992E-2</v>
      </c>
      <c r="Z73" s="7">
        <v>0.108293848</v>
      </c>
      <c r="AA73" s="7">
        <v>0.104517107</v>
      </c>
      <c r="AB73" s="7"/>
      <c r="AC73" s="9">
        <f t="shared" si="8"/>
        <v>0.104517107</v>
      </c>
      <c r="AD73" s="10" t="str">
        <f t="shared" si="9"/>
        <v>2023</v>
      </c>
      <c r="AE73" s="9">
        <f t="shared" si="10"/>
        <v>9.9293001160000005E-2</v>
      </c>
      <c r="AF73" s="9">
        <f t="shared" si="11"/>
        <v>4.5482892999999996E-2</v>
      </c>
    </row>
    <row r="74" spans="1:32" x14ac:dyDescent="0.2">
      <c r="A74" s="6" t="s">
        <v>174</v>
      </c>
      <c r="B74" s="6" t="s">
        <v>175</v>
      </c>
      <c r="C74" s="6"/>
      <c r="D74" s="7">
        <v>6.8847503699999993E-2</v>
      </c>
      <c r="E74" s="8">
        <v>6.8847503699999993E-2</v>
      </c>
      <c r="F74" s="8">
        <v>6.8847503699999993E-2</v>
      </c>
      <c r="G74" s="7">
        <v>5.322761539999999E-2</v>
      </c>
      <c r="H74" s="7">
        <v>5.65226936E-2</v>
      </c>
      <c r="I74" s="7">
        <v>5.5376410499999987E-2</v>
      </c>
      <c r="J74" s="7">
        <v>6.7470402699999987E-2</v>
      </c>
      <c r="K74" s="7">
        <v>7.4681029299999993E-2</v>
      </c>
      <c r="L74" s="7">
        <v>8.1471176099999987E-2</v>
      </c>
      <c r="M74" s="7">
        <v>9.3657865499999993E-2</v>
      </c>
      <c r="N74" s="7">
        <v>8.6339178099999997E-2</v>
      </c>
      <c r="O74" s="7">
        <v>8.0581131E-2</v>
      </c>
      <c r="P74" s="7">
        <v>7.0576958700000011E-2</v>
      </c>
      <c r="Q74" s="7">
        <v>5.4523167600000012E-2</v>
      </c>
      <c r="R74" s="7">
        <v>7.784662249999999E-2</v>
      </c>
      <c r="S74" s="7">
        <v>7.5614514400000013E-2</v>
      </c>
      <c r="T74" s="7">
        <v>7.1645693799999993E-2</v>
      </c>
      <c r="U74" s="7">
        <v>0.1005217934</v>
      </c>
      <c r="V74" s="7">
        <v>7.52910423E-2</v>
      </c>
      <c r="W74" s="7">
        <v>7.5730638500000017E-2</v>
      </c>
      <c r="X74" s="7">
        <v>0.1056005478</v>
      </c>
      <c r="Y74" s="7">
        <v>9.2548494299999978E-2</v>
      </c>
      <c r="Z74" s="7">
        <v>8.8887758300000008E-2</v>
      </c>
      <c r="AA74" s="8">
        <v>8.8887758300000008E-2</v>
      </c>
      <c r="AB74" s="7"/>
      <c r="AC74" s="9">
        <f t="shared" si="8"/>
        <v>8.8887758300000008E-2</v>
      </c>
      <c r="AD74" s="10" t="str">
        <f t="shared" si="9"/>
        <v>2023</v>
      </c>
      <c r="AE74" s="9">
        <f t="shared" si="10"/>
        <v>9.0331039440000011E-2</v>
      </c>
      <c r="AF74" s="9">
        <f t="shared" si="11"/>
        <v>6.1112241699999986E-2</v>
      </c>
    </row>
    <row r="75" spans="1:32" x14ac:dyDescent="0.2">
      <c r="A75" s="6" t="s">
        <v>176</v>
      </c>
      <c r="B75" s="6" t="s">
        <v>177</v>
      </c>
      <c r="C75" s="6"/>
      <c r="D75" s="7"/>
      <c r="E75" s="7"/>
      <c r="F75" s="7"/>
      <c r="G75" s="7"/>
      <c r="H75" s="7"/>
      <c r="I75" s="7"/>
      <c r="J75" s="7"/>
      <c r="K75" s="7"/>
      <c r="L75" s="7"/>
      <c r="M75" s="7"/>
      <c r="N75" s="7">
        <v>0.13766672129999999</v>
      </c>
      <c r="O75" s="7">
        <v>0.12717875479999999</v>
      </c>
      <c r="P75" s="7">
        <v>0.13991549489999999</v>
      </c>
      <c r="Q75" s="7">
        <v>8.0723657599999998E-2</v>
      </c>
      <c r="R75" s="7">
        <v>0.109262495</v>
      </c>
      <c r="S75" s="7">
        <v>6.2054510099999988E-2</v>
      </c>
      <c r="T75" s="7">
        <v>5.4890155799999993E-2</v>
      </c>
      <c r="U75" s="7">
        <v>6.9794187499999993E-2</v>
      </c>
      <c r="V75" s="7">
        <v>7.9763264700000003E-2</v>
      </c>
      <c r="W75" s="7">
        <v>3.2664911699999993E-2</v>
      </c>
      <c r="X75" s="7">
        <v>4.7405838999999998E-2</v>
      </c>
      <c r="Y75" s="8">
        <v>4.7405838999999998E-2</v>
      </c>
      <c r="Z75" s="8">
        <v>4.7405838999999998E-2</v>
      </c>
      <c r="AA75" s="8">
        <v>4.7405838999999998E-2</v>
      </c>
      <c r="AB75" s="7"/>
      <c r="AC75" s="9">
        <f t="shared" si="8"/>
        <v>4.7405838999999998E-2</v>
      </c>
      <c r="AD75" s="10" t="str">
        <f t="shared" si="9"/>
        <v>2023</v>
      </c>
      <c r="AE75" s="9">
        <f t="shared" si="10"/>
        <v>4.4457653540000003E-2</v>
      </c>
      <c r="AF75" s="9">
        <f t="shared" si="11"/>
        <v>0.10259416099999999</v>
      </c>
    </row>
  </sheetData>
  <autoFilter ref="A4:AF75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99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6" customWidth="1"/>
    <col min="3" max="28" width="7" customWidth="1"/>
    <col min="29" max="32" width="12" customWidth="1"/>
  </cols>
  <sheetData>
    <row r="1" spans="1:32" ht="16" x14ac:dyDescent="0.2">
      <c r="A1" s="1" t="s">
        <v>178</v>
      </c>
    </row>
    <row r="2" spans="1:32" x14ac:dyDescent="0.2">
      <c r="A2" s="2" t="s">
        <v>1</v>
      </c>
      <c r="B2" s="11">
        <f>'Model Countries'!$B$2</f>
        <v>0.15</v>
      </c>
      <c r="C2" s="4" t="s">
        <v>2</v>
      </c>
    </row>
    <row r="4" spans="1:32" ht="30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</row>
    <row r="5" spans="1:32" x14ac:dyDescent="0.2">
      <c r="A5" s="6" t="s">
        <v>179</v>
      </c>
      <c r="B5" s="6" t="s">
        <v>180</v>
      </c>
      <c r="C5" s="6"/>
      <c r="D5" s="7"/>
      <c r="E5" s="7"/>
      <c r="F5" s="7">
        <v>1.21245599E-2</v>
      </c>
      <c r="G5" s="7">
        <v>5.45767879E-2</v>
      </c>
      <c r="H5" s="7">
        <v>3.6029682200000003E-2</v>
      </c>
      <c r="I5" s="7">
        <v>3.3812205800000002E-2</v>
      </c>
      <c r="J5" s="7">
        <v>2.7260592000000011E-2</v>
      </c>
      <c r="K5" s="7">
        <v>2.6107819099999999E-2</v>
      </c>
      <c r="L5" s="7">
        <v>3.00392056E-2</v>
      </c>
      <c r="M5" s="7">
        <v>2.5147831400000001E-2</v>
      </c>
      <c r="N5" s="7">
        <v>2.2567357999999999E-2</v>
      </c>
      <c r="O5" s="7">
        <v>2.18811917E-2</v>
      </c>
      <c r="P5" s="7">
        <v>1.37000275E-2</v>
      </c>
      <c r="Q5" s="7">
        <v>1.7750695899999999E-2</v>
      </c>
      <c r="R5" s="7">
        <v>1.8606740199999999E-2</v>
      </c>
      <c r="S5" s="7">
        <v>2.0144059700000001E-2</v>
      </c>
      <c r="T5" s="7">
        <v>2.14110541E-2</v>
      </c>
      <c r="U5" s="7">
        <v>2.3191156399999989E-2</v>
      </c>
      <c r="V5" s="7">
        <v>1.9090468900000001E-2</v>
      </c>
      <c r="W5" s="7">
        <v>1.7752600899999998E-2</v>
      </c>
      <c r="X5" s="7">
        <v>4.2460279500000003E-2</v>
      </c>
      <c r="Y5" s="7">
        <v>3.9610109299999988E-2</v>
      </c>
      <c r="Z5" s="7">
        <v>1.1260572700000001E-2</v>
      </c>
      <c r="AA5" s="7">
        <v>1.46018374E-2</v>
      </c>
      <c r="AB5" s="7"/>
      <c r="AC5" s="9">
        <f t="shared" ref="AC5:AC36" si="0">LOOKUP(9.99E+307,D5:AB5)</f>
        <v>1.46018374E-2</v>
      </c>
      <c r="AD5" s="10" t="str">
        <f t="shared" ref="AD5:AD36" si="1">LOOKUP(9.99E+307,D5:AB5,D$4:AB$4)</f>
        <v>2023</v>
      </c>
      <c r="AE5" s="9">
        <f t="shared" ref="AE5:AE36" si="2">IFERROR(AVERAGE(W5:AB5),"")</f>
        <v>2.5137079959999996E-2</v>
      </c>
      <c r="AF5" s="9">
        <f t="shared" ref="AF5:AF36" si="3">MAX(0,$B$2-AC5)</f>
        <v>0.13539816259999998</v>
      </c>
    </row>
    <row r="6" spans="1:32" x14ac:dyDescent="0.2">
      <c r="A6" s="6" t="s">
        <v>181</v>
      </c>
      <c r="B6" s="6" t="s">
        <v>182</v>
      </c>
      <c r="C6" s="6"/>
      <c r="D6" s="7">
        <v>8.1737270400000006E-2</v>
      </c>
      <c r="E6" s="7">
        <v>8.4236831700000001E-2</v>
      </c>
      <c r="F6" s="7">
        <v>8.2089748399999996E-2</v>
      </c>
      <c r="G6" s="7">
        <v>8.99717617E-2</v>
      </c>
      <c r="H6" s="7">
        <v>9.3544750199999985E-2</v>
      </c>
      <c r="I6" s="7">
        <v>9.3009471900000029E-2</v>
      </c>
      <c r="J6" s="7">
        <v>9.0339221999999997E-2</v>
      </c>
      <c r="K6" s="7">
        <v>9.3771095299999996E-2</v>
      </c>
      <c r="L6" s="7">
        <v>7.251064779999998E-2</v>
      </c>
      <c r="M6" s="7">
        <v>7.2170920400000019E-2</v>
      </c>
      <c r="N6" s="7">
        <v>8.094512940000001E-2</v>
      </c>
      <c r="O6" s="7">
        <v>8.2909116699999993E-2</v>
      </c>
      <c r="P6" s="7">
        <v>8.6973457300000001E-2</v>
      </c>
      <c r="Q6" s="7">
        <v>8.8300628700000022E-2</v>
      </c>
      <c r="R6" s="7">
        <v>8.1742782600000008E-2</v>
      </c>
      <c r="S6" s="7">
        <v>8.8035659799999985E-2</v>
      </c>
      <c r="T6" s="7">
        <v>9.888667109999999E-2</v>
      </c>
      <c r="U6" s="7">
        <v>9.5141820900000007E-2</v>
      </c>
      <c r="V6" s="7">
        <v>9.8860139799999996E-2</v>
      </c>
      <c r="W6" s="7">
        <v>0.1004622459</v>
      </c>
      <c r="X6" s="7">
        <v>9.185170170000001E-2</v>
      </c>
      <c r="Y6" s="7">
        <v>9.1411314000000007E-2</v>
      </c>
      <c r="Z6" s="7">
        <v>0.1230900955</v>
      </c>
      <c r="AA6" s="7">
        <v>0.12282822609999999</v>
      </c>
      <c r="AB6" s="7"/>
      <c r="AC6" s="9">
        <f t="shared" si="0"/>
        <v>0.12282822609999999</v>
      </c>
      <c r="AD6" s="10" t="str">
        <f t="shared" si="1"/>
        <v>2023</v>
      </c>
      <c r="AE6" s="9">
        <f t="shared" si="2"/>
        <v>0.10592871663999999</v>
      </c>
      <c r="AF6" s="9">
        <f t="shared" si="3"/>
        <v>2.7171773900000001E-2</v>
      </c>
    </row>
    <row r="7" spans="1:32" x14ac:dyDescent="0.2">
      <c r="A7" s="6" t="s">
        <v>183</v>
      </c>
      <c r="B7" s="6" t="s">
        <v>184</v>
      </c>
      <c r="C7" s="6"/>
      <c r="D7" s="7">
        <v>8.7792377500000005E-2</v>
      </c>
      <c r="E7" s="7">
        <v>9.2666120500000004E-2</v>
      </c>
      <c r="F7" s="7">
        <v>7.9734382600000001E-2</v>
      </c>
      <c r="G7" s="7">
        <v>9.4377880100000006E-2</v>
      </c>
      <c r="H7" s="7">
        <v>8.6691694299999997E-2</v>
      </c>
      <c r="I7" s="7">
        <v>7.761599059999999E-2</v>
      </c>
      <c r="J7" s="7">
        <v>7.8451299700000005E-2</v>
      </c>
      <c r="K7" s="7">
        <v>7.6307363500000017E-2</v>
      </c>
      <c r="L7" s="7">
        <v>7.6872091300000001E-2</v>
      </c>
      <c r="M7" s="7">
        <v>8.6446847900000012E-2</v>
      </c>
      <c r="N7" s="7">
        <v>9.1878757500000005E-2</v>
      </c>
      <c r="O7" s="7">
        <v>9.0342512099999994E-2</v>
      </c>
      <c r="P7" s="7">
        <v>0.1006144714</v>
      </c>
      <c r="Q7" s="7">
        <v>0.11701066020000001</v>
      </c>
      <c r="R7" s="7">
        <v>0.1141803837</v>
      </c>
      <c r="S7" s="7">
        <v>0.1060481071</v>
      </c>
      <c r="T7" s="7">
        <v>0.1060594082</v>
      </c>
      <c r="U7" s="7">
        <v>0.1060604</v>
      </c>
      <c r="V7" s="7">
        <v>0.1060616875</v>
      </c>
      <c r="W7" s="7">
        <v>8.8303613700000019E-2</v>
      </c>
      <c r="X7" s="7">
        <v>8.8303060500000002E-2</v>
      </c>
      <c r="Y7" s="7">
        <v>8.8285293600000009E-2</v>
      </c>
      <c r="Z7" s="7">
        <v>5.2515640299999992E-2</v>
      </c>
      <c r="AA7" s="7">
        <v>6.1683344799999998E-2</v>
      </c>
      <c r="AB7" s="7"/>
      <c r="AC7" s="9">
        <f t="shared" si="0"/>
        <v>6.1683344799999998E-2</v>
      </c>
      <c r="AD7" s="10" t="str">
        <f t="shared" si="1"/>
        <v>2023</v>
      </c>
      <c r="AE7" s="9">
        <f t="shared" si="2"/>
        <v>7.581819058E-2</v>
      </c>
      <c r="AF7" s="9">
        <f t="shared" si="3"/>
        <v>8.8316655199999997E-2</v>
      </c>
    </row>
    <row r="8" spans="1:32" x14ac:dyDescent="0.2">
      <c r="A8" s="6" t="s">
        <v>185</v>
      </c>
      <c r="B8" s="6" t="s">
        <v>186</v>
      </c>
      <c r="C8" s="6"/>
      <c r="D8" s="7">
        <v>0.30418487550000001</v>
      </c>
      <c r="E8" s="7">
        <v>0.18425966260000001</v>
      </c>
      <c r="F8" s="7">
        <v>0.30313049320000002</v>
      </c>
      <c r="G8" s="7">
        <v>0.30215126040000001</v>
      </c>
      <c r="H8" s="7">
        <v>0.27705289840000002</v>
      </c>
      <c r="I8" s="7">
        <v>0.1877888107</v>
      </c>
      <c r="J8" s="7">
        <v>0.23288269040000009</v>
      </c>
      <c r="K8" s="7">
        <v>0.21894826889999999</v>
      </c>
      <c r="L8" s="7">
        <v>0.2480569077</v>
      </c>
      <c r="M8" s="7">
        <v>0.1687077713</v>
      </c>
      <c r="N8" s="7">
        <v>0.2452881241</v>
      </c>
      <c r="O8" s="7">
        <v>0.23766269679999999</v>
      </c>
      <c r="P8" s="7">
        <v>0.15370748519999999</v>
      </c>
      <c r="Q8" s="7">
        <v>0.111890831</v>
      </c>
      <c r="R8" s="7">
        <v>0.21671689990000001</v>
      </c>
      <c r="S8" s="7">
        <v>0.1575210571</v>
      </c>
      <c r="T8" s="7">
        <v>0.1159596729</v>
      </c>
      <c r="U8" s="7">
        <v>0.1412029457</v>
      </c>
      <c r="V8" s="7">
        <v>0.14528496739999999</v>
      </c>
      <c r="W8" s="7">
        <v>0.1457425785</v>
      </c>
      <c r="X8" s="7">
        <v>0.15055970190000001</v>
      </c>
      <c r="Y8" s="7">
        <v>0.15790537830000009</v>
      </c>
      <c r="Z8" s="7">
        <v>0.15870918270000001</v>
      </c>
      <c r="AA8" s="7">
        <v>0.15194996829999999</v>
      </c>
      <c r="AB8" s="7"/>
      <c r="AC8" s="9">
        <f t="shared" si="0"/>
        <v>0.15194996829999999</v>
      </c>
      <c r="AD8" s="10" t="str">
        <f t="shared" si="1"/>
        <v>2023</v>
      </c>
      <c r="AE8" s="9">
        <f t="shared" si="2"/>
        <v>0.15297336194000002</v>
      </c>
      <c r="AF8" s="9">
        <f t="shared" si="3"/>
        <v>0</v>
      </c>
    </row>
    <row r="9" spans="1:32" x14ac:dyDescent="0.2">
      <c r="A9" s="6" t="s">
        <v>35</v>
      </c>
      <c r="B9" s="6" t="s">
        <v>36</v>
      </c>
      <c r="C9" s="6"/>
      <c r="D9" s="7">
        <v>2.73858261E-2</v>
      </c>
      <c r="E9" s="7">
        <v>5.9682545700000013E-2</v>
      </c>
      <c r="F9" s="7">
        <v>4.1912307699999998E-2</v>
      </c>
      <c r="G9" s="7">
        <v>4.2604680099999993E-2</v>
      </c>
      <c r="H9" s="7">
        <v>5.6592388200000003E-2</v>
      </c>
      <c r="I9" s="7">
        <v>4.8206377000000009E-2</v>
      </c>
      <c r="J9" s="7">
        <v>4.7187375999999989E-2</v>
      </c>
      <c r="K9" s="7">
        <v>4.5162711100000003E-2</v>
      </c>
      <c r="L9" s="7">
        <v>4.0603713999999999E-2</v>
      </c>
      <c r="M9" s="7">
        <v>5.7778892500000012E-2</v>
      </c>
      <c r="N9" s="7">
        <v>4.2495679900000007E-2</v>
      </c>
      <c r="O9" s="7">
        <v>4.5805687900000003E-2</v>
      </c>
      <c r="P9" s="7">
        <v>4.2015132900000009E-2</v>
      </c>
      <c r="Q9" s="7">
        <v>4.5754008300000003E-2</v>
      </c>
      <c r="R9" s="7">
        <v>3.6156802199999998E-2</v>
      </c>
      <c r="S9" s="7">
        <v>4.5626254100000013E-2</v>
      </c>
      <c r="T9" s="7">
        <v>5.4326968199999992E-2</v>
      </c>
      <c r="U9" s="7">
        <v>5.3643193200000008E-2</v>
      </c>
      <c r="V9" s="8">
        <v>5.3643193200000008E-2</v>
      </c>
      <c r="W9" s="7">
        <v>5.5068841E-2</v>
      </c>
      <c r="X9" s="7">
        <v>7.3050217600000009E-2</v>
      </c>
      <c r="Y9" s="7">
        <v>8.7773656799999988E-2</v>
      </c>
      <c r="Z9" s="7">
        <v>6.6996350299999993E-2</v>
      </c>
      <c r="AA9" s="7">
        <v>5.8957567200000012E-2</v>
      </c>
      <c r="AB9" s="7"/>
      <c r="AC9" s="9">
        <f t="shared" si="0"/>
        <v>5.8957567200000012E-2</v>
      </c>
      <c r="AD9" s="10" t="str">
        <f t="shared" si="1"/>
        <v>2023</v>
      </c>
      <c r="AE9" s="9">
        <f t="shared" si="2"/>
        <v>6.8369326580000001E-2</v>
      </c>
      <c r="AF9" s="9">
        <f t="shared" si="3"/>
        <v>9.1042432799999989E-2</v>
      </c>
    </row>
    <row r="10" spans="1:32" x14ac:dyDescent="0.2">
      <c r="A10" s="6" t="s">
        <v>187</v>
      </c>
      <c r="B10" s="6" t="s">
        <v>188</v>
      </c>
      <c r="C10" s="6"/>
      <c r="D10" s="7">
        <v>0.1186253166</v>
      </c>
      <c r="E10" s="7">
        <v>0.1211715889</v>
      </c>
      <c r="F10" s="7">
        <v>0.1065088367</v>
      </c>
      <c r="G10" s="7">
        <v>0.1244891071</v>
      </c>
      <c r="H10" s="7">
        <v>0.1212656689</v>
      </c>
      <c r="I10" s="7">
        <v>0.11530172349999999</v>
      </c>
      <c r="J10" s="7">
        <v>8.3680829999999998E-2</v>
      </c>
      <c r="K10" s="7">
        <v>8.4518461200000006E-2</v>
      </c>
      <c r="L10" s="7">
        <v>8.0810613599999997E-2</v>
      </c>
      <c r="M10" s="7">
        <v>6.3313918100000019E-2</v>
      </c>
      <c r="N10" s="7">
        <v>0.1389639091</v>
      </c>
      <c r="O10" s="7">
        <v>0.12989786149999999</v>
      </c>
      <c r="P10" s="7">
        <v>0.1463236332</v>
      </c>
      <c r="Q10" s="7">
        <v>0.13300731660000001</v>
      </c>
      <c r="R10" s="7">
        <v>0.15105939870000001</v>
      </c>
      <c r="S10" s="7">
        <v>0.1181753826</v>
      </c>
      <c r="T10" s="7">
        <v>0.1160688305</v>
      </c>
      <c r="U10" s="7">
        <v>0.116073885</v>
      </c>
      <c r="V10" s="7">
        <v>0.1307453442</v>
      </c>
      <c r="W10" s="7">
        <v>0.11299994469999999</v>
      </c>
      <c r="X10" s="7">
        <v>0.13783793450000001</v>
      </c>
      <c r="Y10" s="7">
        <v>0.13094045639999999</v>
      </c>
      <c r="Z10" s="7">
        <v>0.13773718830000001</v>
      </c>
      <c r="AA10" s="7">
        <v>0.1227995205</v>
      </c>
      <c r="AB10" s="7"/>
      <c r="AC10" s="9">
        <f t="shared" si="0"/>
        <v>0.1227995205</v>
      </c>
      <c r="AD10" s="10" t="str">
        <f t="shared" si="1"/>
        <v>2023</v>
      </c>
      <c r="AE10" s="9">
        <f t="shared" si="2"/>
        <v>0.12846300888000001</v>
      </c>
      <c r="AF10" s="9">
        <f t="shared" si="3"/>
        <v>2.7200479499999999E-2</v>
      </c>
    </row>
    <row r="11" spans="1:32" x14ac:dyDescent="0.2">
      <c r="A11" s="6" t="s">
        <v>189</v>
      </c>
      <c r="B11" s="6" t="s">
        <v>190</v>
      </c>
      <c r="C11" s="6"/>
      <c r="D11" s="7">
        <v>0.17819662089999999</v>
      </c>
      <c r="E11" s="7">
        <v>0.1693632507</v>
      </c>
      <c r="F11" s="7">
        <v>0.17747657780000001</v>
      </c>
      <c r="G11" s="7">
        <v>0.17084369660000001</v>
      </c>
      <c r="H11" s="7">
        <v>0.14932990069999999</v>
      </c>
      <c r="I11" s="7">
        <v>0.1609741402</v>
      </c>
      <c r="J11" s="7">
        <v>0.15193390849999999</v>
      </c>
      <c r="K11" s="7">
        <v>0.14366702079999999</v>
      </c>
      <c r="L11" s="7">
        <v>0.14556316380000001</v>
      </c>
      <c r="M11" s="7">
        <v>0.16644168849999999</v>
      </c>
      <c r="N11" s="7">
        <v>0.1669724846</v>
      </c>
      <c r="O11" s="7">
        <v>0.16387676239999999</v>
      </c>
      <c r="P11" s="7">
        <v>0.16684787749999999</v>
      </c>
      <c r="Q11" s="7">
        <v>0.16740732189999999</v>
      </c>
      <c r="R11" s="7">
        <v>0.16487079619999989</v>
      </c>
      <c r="S11" s="7">
        <v>0.16445961000000001</v>
      </c>
      <c r="T11" s="7">
        <v>0.158416214</v>
      </c>
      <c r="U11" s="7">
        <v>0.16251632690000001</v>
      </c>
      <c r="V11" s="7">
        <v>0.15689699169999999</v>
      </c>
      <c r="W11" s="7">
        <v>0.1631137466</v>
      </c>
      <c r="X11" s="7">
        <v>0.1645645332</v>
      </c>
      <c r="Y11" s="7">
        <v>0.16756961819999999</v>
      </c>
      <c r="Z11" s="7">
        <v>0.15795044899999999</v>
      </c>
      <c r="AA11" s="7">
        <v>0.16347297669999999</v>
      </c>
      <c r="AB11" s="7"/>
      <c r="AC11" s="9">
        <f t="shared" si="0"/>
        <v>0.16347297669999999</v>
      </c>
      <c r="AD11" s="10" t="str">
        <f t="shared" si="1"/>
        <v>2023</v>
      </c>
      <c r="AE11" s="9">
        <f t="shared" si="2"/>
        <v>0.16333426474000001</v>
      </c>
      <c r="AF11" s="9">
        <f t="shared" si="3"/>
        <v>0</v>
      </c>
    </row>
    <row r="12" spans="1:32" x14ac:dyDescent="0.2">
      <c r="A12" s="6" t="s">
        <v>191</v>
      </c>
      <c r="B12" s="6" t="s">
        <v>192</v>
      </c>
      <c r="C12" s="6"/>
      <c r="D12" s="7">
        <v>3.8698921199999993E-2</v>
      </c>
      <c r="E12" s="7">
        <v>5.6626477199999997E-2</v>
      </c>
      <c r="F12" s="7">
        <v>5.3255290999999989E-2</v>
      </c>
      <c r="G12" s="7">
        <v>5.3752279299999983E-2</v>
      </c>
      <c r="H12" s="7">
        <v>6.2754750299999995E-2</v>
      </c>
      <c r="I12" s="7">
        <v>7.4400081600000001E-2</v>
      </c>
      <c r="J12" s="7">
        <v>7.9318590199999997E-2</v>
      </c>
      <c r="K12" s="7">
        <v>7.1985487900000006E-2</v>
      </c>
      <c r="L12" s="7">
        <v>6.6924619700000021E-2</v>
      </c>
      <c r="M12" s="7">
        <v>6.3449010800000011E-2</v>
      </c>
      <c r="N12" s="7">
        <v>6.4360885600000001E-2</v>
      </c>
      <c r="O12" s="7">
        <v>6.7010197599999988E-2</v>
      </c>
      <c r="P12" s="7">
        <v>7.0407543199999992E-2</v>
      </c>
      <c r="Q12" s="7">
        <v>5.780879970000001E-2</v>
      </c>
      <c r="R12" s="7">
        <v>6.2752604499999989E-2</v>
      </c>
      <c r="S12" s="7">
        <v>6.1153030400000023E-2</v>
      </c>
      <c r="T12" s="7">
        <v>6.0535473800000003E-2</v>
      </c>
      <c r="U12" s="7">
        <v>5.2734718299999997E-2</v>
      </c>
      <c r="V12" s="7">
        <v>5.133859159999999E-2</v>
      </c>
      <c r="W12" s="7">
        <v>5.668850420000001E-2</v>
      </c>
      <c r="X12" s="7">
        <v>7.6896223999999999E-2</v>
      </c>
      <c r="Y12" s="7">
        <v>7.6349659E-2</v>
      </c>
      <c r="Z12" s="7">
        <v>6.502753729999998E-2</v>
      </c>
      <c r="AA12" s="7">
        <v>5.4564251899999999E-2</v>
      </c>
      <c r="AB12" s="7"/>
      <c r="AC12" s="9">
        <f t="shared" si="0"/>
        <v>5.4564251899999999E-2</v>
      </c>
      <c r="AD12" s="10" t="str">
        <f t="shared" si="1"/>
        <v>2023</v>
      </c>
      <c r="AE12" s="9">
        <f t="shared" si="2"/>
        <v>6.5905235280000002E-2</v>
      </c>
      <c r="AF12" s="9">
        <f t="shared" si="3"/>
        <v>9.5435748099999995E-2</v>
      </c>
    </row>
    <row r="13" spans="1:32" x14ac:dyDescent="0.2">
      <c r="A13" s="6" t="s">
        <v>193</v>
      </c>
      <c r="B13" s="6" t="s">
        <v>194</v>
      </c>
      <c r="C13" s="6"/>
      <c r="D13" s="7">
        <v>0.1460132885</v>
      </c>
      <c r="E13" s="7">
        <v>0.14708553309999989</v>
      </c>
      <c r="F13" s="7">
        <v>0.15514163019999999</v>
      </c>
      <c r="G13" s="7">
        <v>0.1548101234</v>
      </c>
      <c r="H13" s="7">
        <v>0.1594705105</v>
      </c>
      <c r="I13" s="7">
        <v>0.15902768140000001</v>
      </c>
      <c r="J13" s="7">
        <v>0.1593996811</v>
      </c>
      <c r="K13" s="7">
        <v>0.16490222930000001</v>
      </c>
      <c r="L13" s="7">
        <v>0.1561295509</v>
      </c>
      <c r="M13" s="7">
        <v>0.15882370000000001</v>
      </c>
      <c r="N13" s="7">
        <v>0.1611460304</v>
      </c>
      <c r="O13" s="7">
        <v>0.16322504039999999</v>
      </c>
      <c r="P13" s="7">
        <v>0.16186937330000009</v>
      </c>
      <c r="Q13" s="7">
        <v>0.15400936130000001</v>
      </c>
      <c r="R13" s="7">
        <v>0.17636617660000001</v>
      </c>
      <c r="S13" s="7">
        <v>0.18289016720000001</v>
      </c>
      <c r="T13" s="7">
        <v>0.1854291153</v>
      </c>
      <c r="U13" s="7">
        <v>0.18582107540000001</v>
      </c>
      <c r="V13" s="7">
        <v>0.18526390079999999</v>
      </c>
      <c r="W13" s="7">
        <v>0.1712651825</v>
      </c>
      <c r="X13" s="7">
        <v>0.1706309319</v>
      </c>
      <c r="Y13" s="7">
        <v>0.19292011259999989</v>
      </c>
      <c r="Z13" s="7">
        <v>0.20248672490000011</v>
      </c>
      <c r="AA13" s="7">
        <v>0.21008600229999999</v>
      </c>
      <c r="AB13" s="7"/>
      <c r="AC13" s="9">
        <f t="shared" si="0"/>
        <v>0.21008600229999999</v>
      </c>
      <c r="AD13" s="10" t="str">
        <f t="shared" si="1"/>
        <v>2023</v>
      </c>
      <c r="AE13" s="9">
        <f t="shared" si="2"/>
        <v>0.18947779083999999</v>
      </c>
      <c r="AF13" s="9">
        <f t="shared" si="3"/>
        <v>0</v>
      </c>
    </row>
    <row r="14" spans="1:32" x14ac:dyDescent="0.2">
      <c r="A14" s="6" t="s">
        <v>195</v>
      </c>
      <c r="B14" s="6" t="s">
        <v>196</v>
      </c>
      <c r="C14" s="6"/>
      <c r="D14" s="7">
        <v>0.1334721375</v>
      </c>
      <c r="E14" s="7">
        <v>0.13241023060000001</v>
      </c>
      <c r="F14" s="7">
        <v>0.13480155939999999</v>
      </c>
      <c r="G14" s="7">
        <v>0.13560529709999999</v>
      </c>
      <c r="H14" s="7">
        <v>0.12996216769999999</v>
      </c>
      <c r="I14" s="7">
        <v>0.13645687100000001</v>
      </c>
      <c r="J14" s="7">
        <v>0.137701931</v>
      </c>
      <c r="K14" s="7">
        <v>0.14055028920000001</v>
      </c>
      <c r="L14" s="7">
        <v>0.1436129475</v>
      </c>
      <c r="M14" s="7">
        <v>0.1375156307</v>
      </c>
      <c r="N14" s="7">
        <v>0.13962965969999999</v>
      </c>
      <c r="O14" s="7">
        <v>0.1430461502</v>
      </c>
      <c r="P14" s="7">
        <v>0.1447297001</v>
      </c>
      <c r="Q14" s="7">
        <v>0.14292957310000001</v>
      </c>
      <c r="R14" s="7">
        <v>0.14502279279999999</v>
      </c>
      <c r="S14" s="7">
        <v>0.14787658690000011</v>
      </c>
      <c r="T14" s="7">
        <v>0.14904735569999999</v>
      </c>
      <c r="U14" s="7">
        <v>0.15486372949999999</v>
      </c>
      <c r="V14" s="7">
        <v>0.157661314</v>
      </c>
      <c r="W14" s="7">
        <v>0.16071058269999999</v>
      </c>
      <c r="X14" s="7">
        <v>0.15197710989999999</v>
      </c>
      <c r="Y14" s="7">
        <v>0.16888675689999999</v>
      </c>
      <c r="Z14" s="7">
        <v>0.1632946968</v>
      </c>
      <c r="AA14" s="7">
        <v>0.16192834850000001</v>
      </c>
      <c r="AB14" s="7"/>
      <c r="AC14" s="9">
        <f t="shared" si="0"/>
        <v>0.16192834850000001</v>
      </c>
      <c r="AD14" s="10" t="str">
        <f t="shared" si="1"/>
        <v>2023</v>
      </c>
      <c r="AE14" s="9">
        <f t="shared" si="2"/>
        <v>0.16135949895999999</v>
      </c>
      <c r="AF14" s="9">
        <f t="shared" si="3"/>
        <v>0</v>
      </c>
    </row>
    <row r="15" spans="1:32" x14ac:dyDescent="0.2">
      <c r="A15" s="6" t="s">
        <v>37</v>
      </c>
      <c r="B15" s="6" t="s">
        <v>38</v>
      </c>
      <c r="C15" s="6"/>
      <c r="D15" s="7">
        <v>4.7502903899999997E-2</v>
      </c>
      <c r="E15" s="7">
        <v>4.7982063300000002E-2</v>
      </c>
      <c r="F15" s="7">
        <v>3.1931574300000001E-2</v>
      </c>
      <c r="G15" s="7">
        <v>3.5723514599999999E-2</v>
      </c>
      <c r="H15" s="7">
        <v>3.5575993099999988E-2</v>
      </c>
      <c r="I15" s="7">
        <v>3.959491729999999E-2</v>
      </c>
      <c r="J15" s="7">
        <v>3.4299800399999997E-2</v>
      </c>
      <c r="K15" s="7">
        <v>3.4903397599999997E-2</v>
      </c>
      <c r="L15" s="7">
        <v>2.75191212E-2</v>
      </c>
      <c r="M15" s="7">
        <v>3.2848393899999988E-2</v>
      </c>
      <c r="N15" s="7">
        <v>3.1712610699999991E-2</v>
      </c>
      <c r="O15" s="7">
        <v>2.8160138099999999E-2</v>
      </c>
      <c r="P15" s="7">
        <v>3.0453245600000001E-2</v>
      </c>
      <c r="Q15" s="7">
        <v>2.8222861299999999E-2</v>
      </c>
      <c r="R15" s="7">
        <v>3.1070067900000008E-2</v>
      </c>
      <c r="S15" s="7">
        <v>3.3728263399999993E-2</v>
      </c>
      <c r="T15" s="7">
        <v>3.2898709799999988E-2</v>
      </c>
      <c r="U15" s="7">
        <v>2.823772669999999E-2</v>
      </c>
      <c r="V15" s="7">
        <v>2.6780352600000001E-2</v>
      </c>
      <c r="W15" s="7">
        <v>3.2879271499999987E-2</v>
      </c>
      <c r="X15" s="7">
        <v>5.7977180500000003E-2</v>
      </c>
      <c r="Y15" s="7">
        <v>4.60517836E-2</v>
      </c>
      <c r="Z15" s="7">
        <v>3.6410746599999988E-2</v>
      </c>
      <c r="AA15" s="7">
        <v>4.2580843E-2</v>
      </c>
      <c r="AB15" s="7"/>
      <c r="AC15" s="9">
        <f t="shared" si="0"/>
        <v>4.2580843E-2</v>
      </c>
      <c r="AD15" s="10" t="str">
        <f t="shared" si="1"/>
        <v>2023</v>
      </c>
      <c r="AE15" s="9">
        <f t="shared" si="2"/>
        <v>4.3179965039999997E-2</v>
      </c>
      <c r="AF15" s="9">
        <f t="shared" si="3"/>
        <v>0.10741915699999999</v>
      </c>
    </row>
    <row r="16" spans="1:32" x14ac:dyDescent="0.2">
      <c r="A16" s="6" t="s">
        <v>197</v>
      </c>
      <c r="B16" s="6" t="s">
        <v>198</v>
      </c>
      <c r="C16" s="6"/>
      <c r="D16" s="7">
        <v>0.13349923129999999</v>
      </c>
      <c r="E16" s="7">
        <v>0.13963019369999999</v>
      </c>
      <c r="F16" s="7">
        <v>0.13405273440000001</v>
      </c>
      <c r="G16" s="7">
        <v>0.1380926418</v>
      </c>
      <c r="H16" s="7">
        <v>0.13041772839999999</v>
      </c>
      <c r="I16" s="7">
        <v>0.1286341</v>
      </c>
      <c r="J16" s="7">
        <v>0.12726217270000001</v>
      </c>
      <c r="K16" s="7">
        <v>0.1349935532</v>
      </c>
      <c r="L16" s="7">
        <v>0.1447344971</v>
      </c>
      <c r="M16" s="7">
        <v>0.15009685519999999</v>
      </c>
      <c r="N16" s="7">
        <v>0.1544239426</v>
      </c>
      <c r="O16" s="7">
        <v>0.13896599770000001</v>
      </c>
      <c r="P16" s="7">
        <v>0.14060424799999999</v>
      </c>
      <c r="Q16" s="7">
        <v>0.14021345139999999</v>
      </c>
      <c r="R16" s="7">
        <v>0.14212909700000001</v>
      </c>
      <c r="S16" s="7">
        <v>0.12836960789999999</v>
      </c>
      <c r="T16" s="7">
        <v>0.1388535404</v>
      </c>
      <c r="U16" s="7">
        <v>0.15596426960000001</v>
      </c>
      <c r="V16" s="7">
        <v>0.14347900390000001</v>
      </c>
      <c r="W16" s="7">
        <v>0.1413741302</v>
      </c>
      <c r="X16" s="7">
        <v>0.1491028023</v>
      </c>
      <c r="Y16" s="7">
        <v>0.1232061958</v>
      </c>
      <c r="Z16" s="7">
        <v>0.15763400080000001</v>
      </c>
      <c r="AA16" s="7">
        <v>0.13481311800000001</v>
      </c>
      <c r="AB16" s="7"/>
      <c r="AC16" s="9">
        <f t="shared" si="0"/>
        <v>0.13481311800000001</v>
      </c>
      <c r="AD16" s="10" t="str">
        <f t="shared" si="1"/>
        <v>2023</v>
      </c>
      <c r="AE16" s="9">
        <f t="shared" si="2"/>
        <v>0.14122604942</v>
      </c>
      <c r="AF16" s="9">
        <f t="shared" si="3"/>
        <v>1.5186881999999985E-2</v>
      </c>
    </row>
    <row r="17" spans="1:32" x14ac:dyDescent="0.2">
      <c r="A17" s="6" t="s">
        <v>199</v>
      </c>
      <c r="B17" s="6" t="s">
        <v>200</v>
      </c>
      <c r="C17" s="6"/>
      <c r="D17" s="7">
        <v>0.1026810646</v>
      </c>
      <c r="E17" s="7">
        <v>9.0306453700000025E-2</v>
      </c>
      <c r="F17" s="7">
        <v>8.22115707E-2</v>
      </c>
      <c r="G17" s="7">
        <v>8.7581796599999998E-2</v>
      </c>
      <c r="H17" s="7">
        <v>9.041761399999998E-2</v>
      </c>
      <c r="I17" s="7">
        <v>9.1384248700000018E-2</v>
      </c>
      <c r="J17" s="7">
        <v>8.9446630499999985E-2</v>
      </c>
      <c r="K17" s="7">
        <v>9.0665273699999993E-2</v>
      </c>
      <c r="L17" s="7">
        <v>8.8342657099999972E-2</v>
      </c>
      <c r="M17" s="7">
        <v>0.1116572762</v>
      </c>
      <c r="N17" s="7">
        <v>8.2303419099999997E-2</v>
      </c>
      <c r="O17" s="7">
        <v>8.0526104000000001E-2</v>
      </c>
      <c r="P17" s="7">
        <v>8.2980499299999996E-2</v>
      </c>
      <c r="Q17" s="7">
        <v>8.4568834300000006E-2</v>
      </c>
      <c r="R17" s="7">
        <v>0.1009125328</v>
      </c>
      <c r="S17" s="7">
        <v>8.8659934999999995E-2</v>
      </c>
      <c r="T17" s="7">
        <v>8.5259904900000016E-2</v>
      </c>
      <c r="U17" s="7">
        <v>7.9766583400000007E-2</v>
      </c>
      <c r="V17" s="7">
        <v>7.2344512900000005E-2</v>
      </c>
      <c r="W17" s="7">
        <v>7.0605115900000001E-2</v>
      </c>
      <c r="X17" s="7">
        <v>8.2946186099999999E-2</v>
      </c>
      <c r="Y17" s="7">
        <v>9.0074634600000009E-2</v>
      </c>
      <c r="Z17" s="7">
        <v>8.6438741700000002E-2</v>
      </c>
      <c r="AA17" s="7">
        <v>8.4886741599999982E-2</v>
      </c>
      <c r="AB17" s="7"/>
      <c r="AC17" s="9">
        <f t="shared" si="0"/>
        <v>8.4886741599999982E-2</v>
      </c>
      <c r="AD17" s="10" t="str">
        <f t="shared" si="1"/>
        <v>2023</v>
      </c>
      <c r="AE17" s="9">
        <f t="shared" si="2"/>
        <v>8.2990283979999996E-2</v>
      </c>
      <c r="AF17" s="9">
        <f t="shared" si="3"/>
        <v>6.5113258400000013E-2</v>
      </c>
    </row>
    <row r="18" spans="1:32" x14ac:dyDescent="0.2">
      <c r="A18" s="6" t="s">
        <v>39</v>
      </c>
      <c r="B18" s="6" t="s">
        <v>40</v>
      </c>
      <c r="C18" s="6"/>
      <c r="D18" s="7">
        <v>5.2114644100000003E-2</v>
      </c>
      <c r="E18" s="7">
        <v>3.5785534399999992E-2</v>
      </c>
      <c r="F18" s="7">
        <v>4.5399312999999997E-2</v>
      </c>
      <c r="G18" s="7">
        <v>4.7553134000000011E-2</v>
      </c>
      <c r="H18" s="7">
        <v>4.8652663200000008E-2</v>
      </c>
      <c r="I18" s="7">
        <v>4.38883734E-2</v>
      </c>
      <c r="J18" s="7">
        <v>4.7282032999999987E-2</v>
      </c>
      <c r="K18" s="7">
        <v>5.07518816E-2</v>
      </c>
      <c r="L18" s="7">
        <v>3.84091425E-2</v>
      </c>
      <c r="M18" s="7">
        <v>4.1153383300000013E-2</v>
      </c>
      <c r="N18" s="7">
        <v>4.4394164099999987E-2</v>
      </c>
      <c r="O18" s="7">
        <v>4.1815910300000009E-2</v>
      </c>
      <c r="P18" s="7">
        <v>4.0162043600000003E-2</v>
      </c>
      <c r="Q18" s="7">
        <v>3.6174552399999997E-2</v>
      </c>
      <c r="R18" s="7">
        <v>3.59245324E-2</v>
      </c>
      <c r="S18" s="7">
        <v>3.376888749999999E-2</v>
      </c>
      <c r="T18" s="7">
        <v>4.0993580799999998E-2</v>
      </c>
      <c r="U18" s="7">
        <v>4.1070523300000002E-2</v>
      </c>
      <c r="V18" s="7">
        <v>3.7503542899999999E-2</v>
      </c>
      <c r="W18" s="7">
        <v>2.66421318E-2</v>
      </c>
      <c r="X18" s="7">
        <v>2.6732916799999999E-2</v>
      </c>
      <c r="Y18" s="7">
        <v>3.004254340000001E-2</v>
      </c>
      <c r="Z18" s="7">
        <v>2.6232760000000001E-2</v>
      </c>
      <c r="AA18" s="7">
        <v>2.4716196100000011E-2</v>
      </c>
      <c r="AB18" s="7"/>
      <c r="AC18" s="9">
        <f t="shared" si="0"/>
        <v>2.4716196100000011E-2</v>
      </c>
      <c r="AD18" s="10" t="str">
        <f t="shared" si="1"/>
        <v>2023</v>
      </c>
      <c r="AE18" s="9">
        <f t="shared" si="2"/>
        <v>2.6873309620000001E-2</v>
      </c>
      <c r="AF18" s="9">
        <f t="shared" si="3"/>
        <v>0.12528380389999999</v>
      </c>
    </row>
    <row r="19" spans="1:32" x14ac:dyDescent="0.2">
      <c r="A19" s="6" t="s">
        <v>201</v>
      </c>
      <c r="B19" s="6" t="s">
        <v>202</v>
      </c>
      <c r="C19" s="6"/>
      <c r="D19" s="7">
        <v>0.1227690411</v>
      </c>
      <c r="E19" s="7">
        <v>0.1237926769</v>
      </c>
      <c r="F19" s="7">
        <v>9.3334569899999997E-2</v>
      </c>
      <c r="G19" s="7">
        <v>0.1164061165</v>
      </c>
      <c r="H19" s="7">
        <v>0.13969944000000001</v>
      </c>
      <c r="I19" s="7">
        <v>0.1225700188</v>
      </c>
      <c r="J19" s="7">
        <v>0.12220624920000001</v>
      </c>
      <c r="K19" s="7">
        <v>0.10528015139999999</v>
      </c>
      <c r="L19" s="7">
        <v>0.1127821255</v>
      </c>
      <c r="M19" s="7">
        <v>0.11655159</v>
      </c>
      <c r="N19" s="7">
        <v>0.1072880936</v>
      </c>
      <c r="O19" s="7">
        <v>0.10611241339999999</v>
      </c>
      <c r="P19" s="7">
        <v>0.1240838051</v>
      </c>
      <c r="Q19" s="7">
        <v>0.108070507</v>
      </c>
      <c r="R19" s="7">
        <v>9.9099264100000001E-2</v>
      </c>
      <c r="S19" s="7">
        <v>9.070397379999999E-2</v>
      </c>
      <c r="T19" s="7">
        <v>9.2848987600000002E-2</v>
      </c>
      <c r="U19" s="7">
        <v>9.0617265700000005E-2</v>
      </c>
      <c r="V19" s="7">
        <v>9.8755865099999993E-2</v>
      </c>
      <c r="W19" s="7">
        <v>0.10636573790000001</v>
      </c>
      <c r="X19" s="7">
        <v>0.1096432972</v>
      </c>
      <c r="Y19" s="7">
        <v>0.1242657375</v>
      </c>
      <c r="Z19" s="7">
        <v>8.7410364200000007E-2</v>
      </c>
      <c r="AA19" s="7">
        <v>7.8084359199999995E-2</v>
      </c>
      <c r="AB19" s="7"/>
      <c r="AC19" s="9">
        <f t="shared" si="0"/>
        <v>7.8084359199999995E-2</v>
      </c>
      <c r="AD19" s="10" t="str">
        <f t="shared" si="1"/>
        <v>2023</v>
      </c>
      <c r="AE19" s="9">
        <f t="shared" si="2"/>
        <v>0.10115389920000002</v>
      </c>
      <c r="AF19" s="9">
        <f t="shared" si="3"/>
        <v>7.19156408E-2</v>
      </c>
    </row>
    <row r="20" spans="1:32" x14ac:dyDescent="0.2">
      <c r="A20" s="6" t="s">
        <v>203</v>
      </c>
      <c r="B20" s="6" t="s">
        <v>204</v>
      </c>
      <c r="C20" s="6"/>
      <c r="D20" s="7">
        <v>0.121293211</v>
      </c>
      <c r="E20" s="7">
        <v>0.1004257679</v>
      </c>
      <c r="F20" s="7">
        <v>9.3207607299999995E-2</v>
      </c>
      <c r="G20" s="7">
        <v>0.1007395458</v>
      </c>
      <c r="H20" s="7">
        <v>9.9957447099999999E-2</v>
      </c>
      <c r="I20" s="7">
        <v>0.1005169773</v>
      </c>
      <c r="J20" s="7">
        <v>8.4428739499999989E-2</v>
      </c>
      <c r="K20" s="7">
        <v>8.1245384200000006E-2</v>
      </c>
      <c r="L20" s="7">
        <v>5.8034067199999997E-2</v>
      </c>
      <c r="M20" s="7">
        <v>6.7310166400000024E-2</v>
      </c>
      <c r="N20" s="7">
        <v>8.6853265799999996E-2</v>
      </c>
      <c r="O20" s="7">
        <v>7.6649079300000006E-2</v>
      </c>
      <c r="P20" s="7">
        <v>8.8545303299999989E-2</v>
      </c>
      <c r="Q20" s="7">
        <v>8.7439413099999988E-2</v>
      </c>
      <c r="R20" s="7">
        <v>8.6848382900000021E-2</v>
      </c>
      <c r="S20" s="7">
        <v>8.8263874099999987E-2</v>
      </c>
      <c r="T20" s="7">
        <v>0.10306513790000001</v>
      </c>
      <c r="U20" s="7">
        <v>0.101955843</v>
      </c>
      <c r="V20" s="7">
        <v>0.1030541611</v>
      </c>
      <c r="W20" s="7">
        <v>0.1104388905</v>
      </c>
      <c r="X20" s="7">
        <v>0.11935428620000001</v>
      </c>
      <c r="Y20" s="7">
        <v>0.1327325821</v>
      </c>
      <c r="Z20" s="7">
        <v>0.11703407289999999</v>
      </c>
      <c r="AA20" s="7">
        <v>0.1172658348</v>
      </c>
      <c r="AB20" s="7"/>
      <c r="AC20" s="9">
        <f t="shared" si="0"/>
        <v>0.1172658348</v>
      </c>
      <c r="AD20" s="10" t="str">
        <f t="shared" si="1"/>
        <v>2023</v>
      </c>
      <c r="AE20" s="9">
        <f t="shared" si="2"/>
        <v>0.11936513330000001</v>
      </c>
      <c r="AF20" s="9">
        <f t="shared" si="3"/>
        <v>3.2734165199999998E-2</v>
      </c>
    </row>
    <row r="21" spans="1:32" x14ac:dyDescent="0.2">
      <c r="A21" s="6" t="s">
        <v>205</v>
      </c>
      <c r="B21" s="6" t="s">
        <v>206</v>
      </c>
      <c r="C21" s="6"/>
      <c r="D21" s="7">
        <v>0.1206895447</v>
      </c>
      <c r="E21" s="7">
        <v>0.1243329906</v>
      </c>
      <c r="F21" s="7">
        <v>0.1228861809</v>
      </c>
      <c r="G21" s="7">
        <v>0.1330091095</v>
      </c>
      <c r="H21" s="7">
        <v>0.14179468149999999</v>
      </c>
      <c r="I21" s="7">
        <v>0.1329590225</v>
      </c>
      <c r="J21" s="7">
        <v>0.13949074750000001</v>
      </c>
      <c r="K21" s="7">
        <v>0.1394859219</v>
      </c>
      <c r="L21" s="7">
        <v>0.1431038952</v>
      </c>
      <c r="M21" s="7">
        <v>0.14385078430000001</v>
      </c>
      <c r="N21" s="7">
        <v>0.1442341805</v>
      </c>
      <c r="O21" s="7">
        <v>0.1423829556</v>
      </c>
      <c r="P21" s="7">
        <v>0.14212852479999999</v>
      </c>
      <c r="Q21" s="7">
        <v>0.14309183119999999</v>
      </c>
      <c r="R21" s="7">
        <v>0.14498723029999999</v>
      </c>
      <c r="S21" s="7">
        <v>0.15345354080000001</v>
      </c>
      <c r="T21" s="7">
        <v>0.1557960796</v>
      </c>
      <c r="U21" s="7">
        <v>0.15917685509999999</v>
      </c>
      <c r="V21" s="7">
        <v>0.1587873363</v>
      </c>
      <c r="W21" s="7">
        <v>0.15621128079999999</v>
      </c>
      <c r="X21" s="7">
        <v>0.14927170749999999</v>
      </c>
      <c r="Y21" s="7">
        <v>0.1545464802</v>
      </c>
      <c r="Z21" s="7">
        <v>0.1518703079</v>
      </c>
      <c r="AA21" s="7">
        <v>0.1493056774</v>
      </c>
      <c r="AB21" s="7"/>
      <c r="AC21" s="9">
        <f t="shared" si="0"/>
        <v>0.1493056774</v>
      </c>
      <c r="AD21" s="10" t="str">
        <f t="shared" si="1"/>
        <v>2023</v>
      </c>
      <c r="AE21" s="9">
        <f t="shared" si="2"/>
        <v>0.15224109076</v>
      </c>
      <c r="AF21" s="9">
        <f t="shared" si="3"/>
        <v>6.9432259999999135E-4</v>
      </c>
    </row>
    <row r="22" spans="1:32" x14ac:dyDescent="0.2">
      <c r="A22" s="6" t="s">
        <v>41</v>
      </c>
      <c r="B22" s="6" t="s">
        <v>42</v>
      </c>
      <c r="C22" s="6"/>
      <c r="D22" s="7">
        <v>5.8475780499999998E-2</v>
      </c>
      <c r="E22" s="7">
        <v>6.8270482999999993E-2</v>
      </c>
      <c r="F22" s="7">
        <v>7.5145411499999995E-2</v>
      </c>
      <c r="G22" s="7">
        <v>7.1356830600000004E-2</v>
      </c>
      <c r="H22" s="7">
        <v>7.8819284400000009E-2</v>
      </c>
      <c r="I22" s="7">
        <v>8.3321723900000019E-2</v>
      </c>
      <c r="J22" s="7">
        <v>9.3324451400000008E-2</v>
      </c>
      <c r="K22" s="7">
        <v>0.1076810741</v>
      </c>
      <c r="L22" s="7">
        <v>0.1338402843</v>
      </c>
      <c r="M22" s="7">
        <v>0.1248273087</v>
      </c>
      <c r="N22" s="7">
        <v>0.12763880729999999</v>
      </c>
      <c r="O22" s="7">
        <v>0.1269621658</v>
      </c>
      <c r="P22" s="7">
        <v>0.12936385149999999</v>
      </c>
      <c r="Q22" s="7">
        <v>0.12273202900000001</v>
      </c>
      <c r="R22" s="7">
        <v>0.12234224320000001</v>
      </c>
      <c r="S22" s="7">
        <v>0.1134556484</v>
      </c>
      <c r="T22" s="7">
        <v>0.1211457348</v>
      </c>
      <c r="U22" s="7">
        <v>0.116249609</v>
      </c>
      <c r="V22" s="7">
        <v>0.12209848399999999</v>
      </c>
      <c r="W22" s="7">
        <v>0.1207653427</v>
      </c>
      <c r="X22" s="7">
        <v>0.1143843937</v>
      </c>
      <c r="Y22" s="7">
        <v>0.1361467361</v>
      </c>
      <c r="Z22" s="7">
        <v>0.1144796753</v>
      </c>
      <c r="AA22" s="7">
        <v>0.10877460479999999</v>
      </c>
      <c r="AB22" s="7"/>
      <c r="AC22" s="9">
        <f t="shared" si="0"/>
        <v>0.10877460479999999</v>
      </c>
      <c r="AD22" s="10" t="str">
        <f t="shared" si="1"/>
        <v>2023</v>
      </c>
      <c r="AE22" s="9">
        <f t="shared" si="2"/>
        <v>0.11891015052000001</v>
      </c>
      <c r="AF22" s="9">
        <f t="shared" si="3"/>
        <v>4.1225395200000001E-2</v>
      </c>
    </row>
    <row r="23" spans="1:32" x14ac:dyDescent="0.2">
      <c r="A23" s="6" t="s">
        <v>43</v>
      </c>
      <c r="B23" s="6" t="s">
        <v>44</v>
      </c>
      <c r="C23" s="6"/>
      <c r="D23" s="7">
        <v>7.2511076899999999E-2</v>
      </c>
      <c r="E23" s="7">
        <v>7.7723507900000016E-2</v>
      </c>
      <c r="F23" s="7">
        <v>6.1315412499999999E-2</v>
      </c>
      <c r="G23" s="7">
        <v>7.6892032600000007E-2</v>
      </c>
      <c r="H23" s="7">
        <v>8.6366128900000005E-2</v>
      </c>
      <c r="I23" s="7">
        <v>7.4113364200000004E-2</v>
      </c>
      <c r="J23" s="7">
        <v>8.1737995100000002E-2</v>
      </c>
      <c r="K23" s="7">
        <v>6.0395412400000008E-2</v>
      </c>
      <c r="L23" s="7">
        <v>5.1033644700000012E-2</v>
      </c>
      <c r="M23" s="7">
        <v>5.1059412999999998E-2</v>
      </c>
      <c r="N23" s="7">
        <v>5.3446040200000003E-2</v>
      </c>
      <c r="O23" s="7">
        <v>4.4236145000000011E-2</v>
      </c>
      <c r="P23" s="7">
        <v>5.2463355099999998E-2</v>
      </c>
      <c r="Q23" s="7">
        <v>5.1338047999999997E-2</v>
      </c>
      <c r="R23" s="7">
        <v>4.0445923799999998E-2</v>
      </c>
      <c r="S23" s="7">
        <v>3.2547800500000008E-2</v>
      </c>
      <c r="T23" s="7">
        <v>4.6273145699999997E-2</v>
      </c>
      <c r="U23" s="7">
        <v>3.9717438200000003E-2</v>
      </c>
      <c r="V23" s="7">
        <v>4.0243492099999993E-2</v>
      </c>
      <c r="W23" s="7">
        <v>3.1248140300000001E-2</v>
      </c>
      <c r="X23" s="7">
        <v>2.6806235299999991E-2</v>
      </c>
      <c r="Y23" s="7">
        <v>1.6808979500000001E-2</v>
      </c>
      <c r="Z23" s="7">
        <v>2.55340433E-2</v>
      </c>
      <c r="AA23" s="8">
        <v>2.55340433E-2</v>
      </c>
      <c r="AB23" s="7"/>
      <c r="AC23" s="9">
        <f t="shared" si="0"/>
        <v>2.55340433E-2</v>
      </c>
      <c r="AD23" s="10" t="str">
        <f t="shared" si="1"/>
        <v>2023</v>
      </c>
      <c r="AE23" s="9">
        <f t="shared" si="2"/>
        <v>2.5186288340000001E-2</v>
      </c>
      <c r="AF23" s="9">
        <f t="shared" si="3"/>
        <v>0.12446595669999999</v>
      </c>
    </row>
    <row r="24" spans="1:32" x14ac:dyDescent="0.2">
      <c r="A24" s="6" t="s">
        <v>207</v>
      </c>
      <c r="B24" s="6" t="s">
        <v>208</v>
      </c>
      <c r="C24" s="6"/>
      <c r="D24" s="7">
        <v>7.6619949300000004E-2</v>
      </c>
      <c r="E24" s="7">
        <v>6.5465288200000013E-2</v>
      </c>
      <c r="F24" s="7">
        <v>7.8797030400000009E-2</v>
      </c>
      <c r="G24" s="7">
        <v>7.6382122000000011E-2</v>
      </c>
      <c r="H24" s="7">
        <v>9.0855569800000022E-2</v>
      </c>
      <c r="I24" s="7">
        <v>6.7238621699999987E-2</v>
      </c>
      <c r="J24" s="7">
        <v>6.8296737700000026E-2</v>
      </c>
      <c r="K24" s="7">
        <v>7.4637923200000011E-2</v>
      </c>
      <c r="L24" s="7">
        <v>6.0286188099999999E-2</v>
      </c>
      <c r="M24" s="7">
        <v>6.1936817200000008E-2</v>
      </c>
      <c r="N24" s="7">
        <v>5.6493496900000002E-2</v>
      </c>
      <c r="O24" s="7">
        <v>6.1463675500000002E-2</v>
      </c>
      <c r="P24" s="7">
        <v>6.4582848499999998E-2</v>
      </c>
      <c r="Q24" s="7">
        <v>7.0980410599999988E-2</v>
      </c>
      <c r="R24" s="7">
        <v>7.7240905799999995E-2</v>
      </c>
      <c r="S24" s="7">
        <v>9.2642660100000024E-2</v>
      </c>
      <c r="T24" s="7">
        <v>7.9599780999999981E-2</v>
      </c>
      <c r="U24" s="7">
        <v>7.5842056300000002E-2</v>
      </c>
      <c r="V24" s="7">
        <v>7.7032465900000013E-2</v>
      </c>
      <c r="W24" s="7">
        <v>0.10239859580000001</v>
      </c>
      <c r="X24" s="7">
        <v>0.1029558849</v>
      </c>
      <c r="Y24" s="7">
        <v>6.3258795699999995E-2</v>
      </c>
      <c r="Z24" s="7">
        <v>6.6640725099999992E-2</v>
      </c>
      <c r="AA24" s="7">
        <v>0.1020342922</v>
      </c>
      <c r="AB24" s="7"/>
      <c r="AC24" s="9">
        <f t="shared" si="0"/>
        <v>0.1020342922</v>
      </c>
      <c r="AD24" s="10" t="str">
        <f t="shared" si="1"/>
        <v>2023</v>
      </c>
      <c r="AE24" s="9">
        <f t="shared" si="2"/>
        <v>8.7457658739999986E-2</v>
      </c>
      <c r="AF24" s="9">
        <f t="shared" si="3"/>
        <v>4.7965707799999993E-2</v>
      </c>
    </row>
    <row r="25" spans="1:32" x14ac:dyDescent="0.2">
      <c r="A25" s="6" t="s">
        <v>45</v>
      </c>
      <c r="B25" s="6" t="s">
        <v>46</v>
      </c>
      <c r="C25" s="6"/>
      <c r="D25" s="7">
        <v>8.2959833100000005E-2</v>
      </c>
      <c r="E25" s="7">
        <v>8.1801204700000005E-2</v>
      </c>
      <c r="F25" s="7">
        <v>7.8159523000000009E-2</v>
      </c>
      <c r="G25" s="7">
        <v>8.6116819400000003E-2</v>
      </c>
      <c r="H25" s="7">
        <v>7.8391628300000016E-2</v>
      </c>
      <c r="I25" s="7">
        <v>8.298798559999998E-2</v>
      </c>
      <c r="J25" s="7">
        <v>8.7520017599999986E-2</v>
      </c>
      <c r="K25" s="7">
        <v>8.5002489099999995E-2</v>
      </c>
      <c r="L25" s="7">
        <v>7.6468911200000017E-2</v>
      </c>
      <c r="M25" s="7">
        <v>9.5118818300000005E-2</v>
      </c>
      <c r="N25" s="7">
        <v>9.7059020999999995E-2</v>
      </c>
      <c r="O25" s="7">
        <v>8.5434141200000008E-2</v>
      </c>
      <c r="P25" s="7">
        <v>8.3143749199999964E-2</v>
      </c>
      <c r="Q25" s="7">
        <v>9.2054643599999986E-2</v>
      </c>
      <c r="R25" s="7">
        <v>8.952018740000002E-2</v>
      </c>
      <c r="S25" s="7">
        <v>9.6743507399999998E-2</v>
      </c>
      <c r="T25" s="7">
        <v>0.1107505703</v>
      </c>
      <c r="U25" s="7">
        <v>0.11510429379999999</v>
      </c>
      <c r="V25" s="7">
        <v>0.1272148514</v>
      </c>
      <c r="W25" s="7">
        <v>0.1354663086</v>
      </c>
      <c r="X25" s="7">
        <v>0.15777553559999999</v>
      </c>
      <c r="Y25" s="7">
        <v>0.16919799799999999</v>
      </c>
      <c r="Z25" s="7">
        <v>0.12820346830000001</v>
      </c>
      <c r="AA25" s="7">
        <v>0.1202977371</v>
      </c>
      <c r="AB25" s="7"/>
      <c r="AC25" s="9">
        <f t="shared" si="0"/>
        <v>0.1202977371</v>
      </c>
      <c r="AD25" s="10" t="str">
        <f t="shared" si="1"/>
        <v>2023</v>
      </c>
      <c r="AE25" s="9">
        <f t="shared" si="2"/>
        <v>0.14218820952</v>
      </c>
      <c r="AF25" s="9">
        <f t="shared" si="3"/>
        <v>2.9702262899999998E-2</v>
      </c>
    </row>
    <row r="26" spans="1:32" x14ac:dyDescent="0.2">
      <c r="A26" s="6" t="s">
        <v>209</v>
      </c>
      <c r="B26" s="6" t="s">
        <v>210</v>
      </c>
      <c r="C26" s="6"/>
      <c r="D26" s="7">
        <v>7.2539925599999985E-2</v>
      </c>
      <c r="E26" s="7">
        <v>8.6007442500000003E-2</v>
      </c>
      <c r="F26" s="7">
        <v>9.3225574499999977E-2</v>
      </c>
      <c r="G26" s="7">
        <v>0.11586452479999999</v>
      </c>
      <c r="H26" s="7">
        <v>0.11320334429999999</v>
      </c>
      <c r="I26" s="7">
        <v>0.1081009102</v>
      </c>
      <c r="J26" s="7">
        <v>0.1095802307</v>
      </c>
      <c r="K26" s="7">
        <v>0.11328330039999999</v>
      </c>
      <c r="L26" s="7">
        <v>0.109186964</v>
      </c>
      <c r="M26" s="7">
        <v>0.12523983</v>
      </c>
      <c r="N26" s="7">
        <v>0.1260088634</v>
      </c>
      <c r="O26" s="7">
        <v>0.1338013935</v>
      </c>
      <c r="P26" s="7">
        <v>0.1388334846</v>
      </c>
      <c r="Q26" s="7">
        <v>0.14794702530000001</v>
      </c>
      <c r="R26" s="7">
        <v>0.1443189335</v>
      </c>
      <c r="S26" s="7">
        <v>0.149841013</v>
      </c>
      <c r="T26" s="7">
        <v>0.1562966251</v>
      </c>
      <c r="U26" s="7">
        <v>0.15466545100000001</v>
      </c>
      <c r="V26" s="7">
        <v>0.15142900470000001</v>
      </c>
      <c r="W26" s="7">
        <v>0.15367925639999999</v>
      </c>
      <c r="X26" s="7">
        <v>0.14880352020000001</v>
      </c>
      <c r="Y26" s="7">
        <v>0.160575676</v>
      </c>
      <c r="Z26" s="7">
        <v>0.14565587999999999</v>
      </c>
      <c r="AA26" s="7">
        <v>0.1442121029</v>
      </c>
      <c r="AB26" s="7"/>
      <c r="AC26" s="9">
        <f t="shared" si="0"/>
        <v>0.1442121029</v>
      </c>
      <c r="AD26" s="10" t="str">
        <f t="shared" si="1"/>
        <v>2023</v>
      </c>
      <c r="AE26" s="9">
        <f t="shared" si="2"/>
        <v>0.15058528709999999</v>
      </c>
      <c r="AF26" s="9">
        <f t="shared" si="3"/>
        <v>5.7878970999999946E-3</v>
      </c>
    </row>
    <row r="27" spans="1:32" x14ac:dyDescent="0.2">
      <c r="A27" s="6" t="s">
        <v>47</v>
      </c>
      <c r="B27" s="6" t="s">
        <v>48</v>
      </c>
      <c r="C27" s="6" t="s">
        <v>49</v>
      </c>
      <c r="D27" s="7">
        <v>8.1782970400000016E-2</v>
      </c>
      <c r="E27" s="8">
        <v>8.1782970400000016E-2</v>
      </c>
      <c r="F27" s="8">
        <v>8.1782970400000016E-2</v>
      </c>
      <c r="G27" s="8">
        <v>8.1782970400000016E-2</v>
      </c>
      <c r="H27" s="8">
        <v>8.1782970400000016E-2</v>
      </c>
      <c r="I27" s="8">
        <v>8.1782970400000016E-2</v>
      </c>
      <c r="J27" s="8">
        <v>8.1782970400000016E-2</v>
      </c>
      <c r="K27" s="8">
        <v>8.1782970400000016E-2</v>
      </c>
      <c r="L27" s="7">
        <v>7.6448068600000002E-2</v>
      </c>
      <c r="M27" s="7">
        <v>6.2520623200000014E-2</v>
      </c>
      <c r="N27" s="7">
        <v>8.0609350200000027E-2</v>
      </c>
      <c r="O27" s="7">
        <v>9.6322517399999988E-2</v>
      </c>
      <c r="P27" s="7">
        <v>0.1068447876</v>
      </c>
      <c r="Q27" s="7">
        <v>0.1193448162</v>
      </c>
      <c r="R27" s="7">
        <v>0.1095858192</v>
      </c>
      <c r="S27" s="7">
        <v>0.10415887829999999</v>
      </c>
      <c r="T27" s="7">
        <v>0.1121129513</v>
      </c>
      <c r="U27" s="7">
        <v>0.14315474510000001</v>
      </c>
      <c r="V27" s="7">
        <v>0.1154210281</v>
      </c>
      <c r="W27" s="7">
        <v>0.12006065370000001</v>
      </c>
      <c r="X27" s="7">
        <v>0.11661524769999999</v>
      </c>
      <c r="Y27" s="7">
        <v>0.14610138889999999</v>
      </c>
      <c r="Z27" s="8">
        <v>0.14610138889999999</v>
      </c>
      <c r="AA27" s="8">
        <v>0.14610138889999999</v>
      </c>
      <c r="AB27" s="7"/>
      <c r="AC27" s="9">
        <f t="shared" si="0"/>
        <v>0.14610138889999999</v>
      </c>
      <c r="AD27" s="10" t="str">
        <f t="shared" si="1"/>
        <v>2023</v>
      </c>
      <c r="AE27" s="9">
        <f t="shared" si="2"/>
        <v>0.13499601361999999</v>
      </c>
      <c r="AF27" s="9">
        <f t="shared" si="3"/>
        <v>3.8986111000000045E-3</v>
      </c>
    </row>
    <row r="28" spans="1:32" x14ac:dyDescent="0.2">
      <c r="A28" s="6" t="s">
        <v>211</v>
      </c>
      <c r="B28" s="6" t="s">
        <v>212</v>
      </c>
      <c r="C28" s="6"/>
      <c r="D28" s="7">
        <v>9.6767396900000011E-2</v>
      </c>
      <c r="E28" s="7">
        <v>8.8260869999999991E-2</v>
      </c>
      <c r="F28" s="7">
        <v>8.2849063899999992E-2</v>
      </c>
      <c r="G28" s="7">
        <v>8.5001153900000015E-2</v>
      </c>
      <c r="H28" s="7">
        <v>8.7370557799999984E-2</v>
      </c>
      <c r="I28" s="7">
        <v>7.9895639400000024E-2</v>
      </c>
      <c r="J28" s="7">
        <v>8.3201942400000006E-2</v>
      </c>
      <c r="K28" s="7">
        <v>8.6356258399999997E-2</v>
      </c>
      <c r="L28" s="7">
        <v>8.7795753499999976E-2</v>
      </c>
      <c r="M28" s="7">
        <v>9.1458635299999994E-2</v>
      </c>
      <c r="N28" s="7">
        <v>9.0520887400000027E-2</v>
      </c>
      <c r="O28" s="7">
        <v>8.8034591699999998E-2</v>
      </c>
      <c r="P28" s="7">
        <v>8.5338993099999982E-2</v>
      </c>
      <c r="Q28" s="7">
        <v>8.9269132599999995E-2</v>
      </c>
      <c r="R28" s="7">
        <v>8.9287519500000009E-2</v>
      </c>
      <c r="S28" s="7">
        <v>8.3435726200000004E-2</v>
      </c>
      <c r="T28" s="7">
        <v>8.6763544100000006E-2</v>
      </c>
      <c r="U28" s="7">
        <v>8.9241323499999983E-2</v>
      </c>
      <c r="V28" s="7">
        <v>8.8030414599999995E-2</v>
      </c>
      <c r="W28" s="7">
        <v>9.1002769499999997E-2</v>
      </c>
      <c r="X28" s="7">
        <v>9.0343179699999998E-2</v>
      </c>
      <c r="Y28" s="7">
        <v>0.1066790676</v>
      </c>
      <c r="Z28" s="7">
        <v>9.8047161099999988E-2</v>
      </c>
      <c r="AA28" s="7">
        <v>9.4769115399999992E-2</v>
      </c>
      <c r="AB28" s="7"/>
      <c r="AC28" s="9">
        <f t="shared" si="0"/>
        <v>9.4769115399999992E-2</v>
      </c>
      <c r="AD28" s="10" t="str">
        <f t="shared" si="1"/>
        <v>2023</v>
      </c>
      <c r="AE28" s="9">
        <f t="shared" si="2"/>
        <v>9.6168258659999992E-2</v>
      </c>
      <c r="AF28" s="9">
        <f t="shared" si="3"/>
        <v>5.5230884600000002E-2</v>
      </c>
    </row>
    <row r="29" spans="1:32" x14ac:dyDescent="0.2">
      <c r="A29" s="6" t="s">
        <v>213</v>
      </c>
      <c r="B29" s="6" t="s">
        <v>214</v>
      </c>
      <c r="C29" s="6"/>
      <c r="D29" s="7">
        <v>5.7201023099999998E-2</v>
      </c>
      <c r="E29" s="7">
        <v>5.9716095900000009E-2</v>
      </c>
      <c r="F29" s="7">
        <v>5.1140026999999998E-2</v>
      </c>
      <c r="G29" s="7">
        <v>6.9894080199999986E-2</v>
      </c>
      <c r="H29" s="7">
        <v>6.3955154400000006E-2</v>
      </c>
      <c r="I29" s="7">
        <v>6.4329338099999994E-2</v>
      </c>
      <c r="J29" s="7">
        <v>5.8137607600000002E-2</v>
      </c>
      <c r="K29" s="7">
        <v>5.7738957400000013E-2</v>
      </c>
      <c r="L29" s="7">
        <v>6.207094669999999E-2</v>
      </c>
      <c r="M29" s="7">
        <v>6.2168865200000013E-2</v>
      </c>
      <c r="N29" s="7">
        <v>5.7768349599999998E-2</v>
      </c>
      <c r="O29" s="7">
        <v>5.7430243499999999E-2</v>
      </c>
      <c r="P29" s="7">
        <v>5.4435348500000001E-2</v>
      </c>
      <c r="Q29" s="7">
        <v>5.120741840000001E-2</v>
      </c>
      <c r="R29" s="7">
        <v>5.2039270400000011E-2</v>
      </c>
      <c r="S29" s="7">
        <v>5.8648924800000002E-2</v>
      </c>
      <c r="T29" s="7">
        <v>6.1532998100000007E-2</v>
      </c>
      <c r="U29" s="7">
        <v>5.8707590099999978E-2</v>
      </c>
      <c r="V29" s="7">
        <v>7.140210629999999E-2</v>
      </c>
      <c r="W29" s="7">
        <v>6.4899330099999999E-2</v>
      </c>
      <c r="X29" s="7">
        <v>6.9482288400000008E-2</v>
      </c>
      <c r="Y29" s="7">
        <v>6.8214802699999993E-2</v>
      </c>
      <c r="Z29" s="7">
        <v>6.1809792500000002E-2</v>
      </c>
      <c r="AA29" s="7">
        <v>7.02334976E-2</v>
      </c>
      <c r="AB29" s="7"/>
      <c r="AC29" s="9">
        <f t="shared" si="0"/>
        <v>7.02334976E-2</v>
      </c>
      <c r="AD29" s="10" t="str">
        <f t="shared" si="1"/>
        <v>2023</v>
      </c>
      <c r="AE29" s="9">
        <f t="shared" si="2"/>
        <v>6.6927942260000012E-2</v>
      </c>
      <c r="AF29" s="9">
        <f t="shared" si="3"/>
        <v>7.9766502399999994E-2</v>
      </c>
    </row>
    <row r="30" spans="1:32" x14ac:dyDescent="0.2">
      <c r="A30" s="6" t="s">
        <v>215</v>
      </c>
      <c r="B30" s="6" t="s">
        <v>216</v>
      </c>
      <c r="C30" s="6"/>
      <c r="D30" s="7">
        <v>8.0766668299999983E-2</v>
      </c>
      <c r="E30" s="7">
        <v>9.4655160899999979E-2</v>
      </c>
      <c r="F30" s="7">
        <v>0.1074446106</v>
      </c>
      <c r="G30" s="7">
        <v>0.1133319283</v>
      </c>
      <c r="H30" s="7">
        <v>0.1082743073</v>
      </c>
      <c r="I30" s="7">
        <v>0.1116988087</v>
      </c>
      <c r="J30" s="7">
        <v>0.1079413986</v>
      </c>
      <c r="K30" s="7">
        <v>9.1050682099999988E-2</v>
      </c>
      <c r="L30" s="7">
        <v>9.3931026500000001E-2</v>
      </c>
      <c r="M30" s="7">
        <v>9.0361623799999985E-2</v>
      </c>
      <c r="N30" s="7">
        <v>0.10849959369999999</v>
      </c>
      <c r="O30" s="7">
        <v>0.1141062927</v>
      </c>
      <c r="P30" s="7">
        <v>0.11179396630000001</v>
      </c>
      <c r="Q30" s="7">
        <v>0.1069857979</v>
      </c>
      <c r="R30" s="7">
        <v>0.1036410141</v>
      </c>
      <c r="S30" s="7">
        <v>0.1023375225</v>
      </c>
      <c r="T30" s="7">
        <v>0.1182779217</v>
      </c>
      <c r="U30" s="7">
        <v>0.1183658028</v>
      </c>
      <c r="V30" s="7">
        <v>0.11434177399999999</v>
      </c>
      <c r="W30" s="7">
        <v>0.11553802489999999</v>
      </c>
      <c r="X30" s="7">
        <v>0.1221726608</v>
      </c>
      <c r="Y30" s="7">
        <v>0.1331113911</v>
      </c>
      <c r="Z30" s="7">
        <v>0.1157172585</v>
      </c>
      <c r="AA30" s="7">
        <v>0.12826754570000001</v>
      </c>
      <c r="AB30" s="7"/>
      <c r="AC30" s="9">
        <f t="shared" si="0"/>
        <v>0.12826754570000001</v>
      </c>
      <c r="AD30" s="10" t="str">
        <f t="shared" si="1"/>
        <v>2023</v>
      </c>
      <c r="AE30" s="9">
        <f t="shared" si="2"/>
        <v>0.1229613762</v>
      </c>
      <c r="AF30" s="9">
        <f t="shared" si="3"/>
        <v>2.1732454299999981E-2</v>
      </c>
    </row>
    <row r="31" spans="1:32" x14ac:dyDescent="0.2">
      <c r="A31" s="6" t="s">
        <v>50</v>
      </c>
      <c r="B31" s="6" t="s">
        <v>51</v>
      </c>
      <c r="C31" s="6"/>
      <c r="D31" s="7">
        <v>4.8483686399999983E-2</v>
      </c>
      <c r="E31" s="7">
        <v>4.9421768200000007E-2</v>
      </c>
      <c r="F31" s="7">
        <v>5.4349312799999987E-2</v>
      </c>
      <c r="G31" s="7">
        <v>5.5697293299999992E-2</v>
      </c>
      <c r="H31" s="7">
        <v>8.3909988399999996E-2</v>
      </c>
      <c r="I31" s="7">
        <v>6.0486402500000008E-2</v>
      </c>
      <c r="J31" s="7">
        <v>6.5406885099999992E-2</v>
      </c>
      <c r="K31" s="7">
        <v>6.2706828100000014E-2</v>
      </c>
      <c r="L31" s="7">
        <v>7.3215260500000004E-2</v>
      </c>
      <c r="M31" s="7">
        <v>7.629394049999999E-2</v>
      </c>
      <c r="N31" s="7">
        <v>6.0323524500000003E-2</v>
      </c>
      <c r="O31" s="7">
        <v>6.5873937599999988E-2</v>
      </c>
      <c r="P31" s="7">
        <v>4.6960587499999998E-2</v>
      </c>
      <c r="Q31" s="7">
        <v>6.3829321899999986E-2</v>
      </c>
      <c r="R31" s="7">
        <v>7.77367115E-2</v>
      </c>
      <c r="S31" s="7">
        <v>7.1526417699999997E-2</v>
      </c>
      <c r="T31" s="7">
        <v>0.1103399372</v>
      </c>
      <c r="U31" s="7">
        <v>0.102352047</v>
      </c>
      <c r="V31" s="7">
        <v>8.7850236900000003E-2</v>
      </c>
      <c r="W31" s="7">
        <v>9.5769109700000021E-2</v>
      </c>
      <c r="X31" s="7">
        <v>0.1164750004</v>
      </c>
      <c r="Y31" s="7">
        <v>9.8384151499999989E-2</v>
      </c>
      <c r="Z31" s="7">
        <v>8.3968486799999992E-2</v>
      </c>
      <c r="AA31" s="7">
        <v>8.7753620099999999E-2</v>
      </c>
      <c r="AB31" s="7"/>
      <c r="AC31" s="9">
        <f t="shared" si="0"/>
        <v>8.7753620099999999E-2</v>
      </c>
      <c r="AD31" s="10" t="str">
        <f t="shared" si="1"/>
        <v>2023</v>
      </c>
      <c r="AE31" s="9">
        <f t="shared" si="2"/>
        <v>9.6470073700000006E-2</v>
      </c>
      <c r="AF31" s="9">
        <f t="shared" si="3"/>
        <v>6.2246379899999996E-2</v>
      </c>
    </row>
    <row r="32" spans="1:32" x14ac:dyDescent="0.2">
      <c r="A32" s="6" t="s">
        <v>52</v>
      </c>
      <c r="B32" s="6" t="s">
        <v>53</v>
      </c>
      <c r="C32" s="6" t="s">
        <v>49</v>
      </c>
      <c r="D32" s="7">
        <v>5.9445400200000019E-2</v>
      </c>
      <c r="E32" s="7">
        <v>6.6626386600000004E-2</v>
      </c>
      <c r="F32" s="7">
        <v>6.3795781100000004E-2</v>
      </c>
      <c r="G32" s="7">
        <v>3.7158155399999997E-2</v>
      </c>
      <c r="H32" s="7">
        <v>5.8038430199999998E-2</v>
      </c>
      <c r="I32" s="7">
        <v>6.2231040000000008E-2</v>
      </c>
      <c r="J32" s="7">
        <v>6.4814195600000013E-2</v>
      </c>
      <c r="K32" s="7">
        <v>6.3231558800000004E-2</v>
      </c>
      <c r="L32" s="7">
        <v>3.7877473799999999E-2</v>
      </c>
      <c r="M32" s="7">
        <v>5.4775237999999997E-2</v>
      </c>
      <c r="N32" s="7">
        <v>4.8606638899999999E-2</v>
      </c>
      <c r="O32" s="7">
        <v>8.2279138599999968E-2</v>
      </c>
      <c r="P32" s="7">
        <v>7.1102819400000017E-2</v>
      </c>
      <c r="Q32" s="7">
        <v>4.4317016600000002E-2</v>
      </c>
      <c r="R32" s="7">
        <v>9.79248333E-2</v>
      </c>
      <c r="S32" s="7">
        <v>0.1044351768</v>
      </c>
      <c r="T32" s="7">
        <v>9.904492379999999E-2</v>
      </c>
      <c r="U32" s="7">
        <v>8.3575859099999969E-2</v>
      </c>
      <c r="V32" s="7">
        <v>7.9078621900000007E-2</v>
      </c>
      <c r="W32" s="8">
        <v>7.9078621900000007E-2</v>
      </c>
      <c r="X32" s="7">
        <v>7.332878109999999E-2</v>
      </c>
      <c r="Y32" s="8">
        <v>7.332878109999999E-2</v>
      </c>
      <c r="Z32" s="7">
        <v>4.7289733899999999E-2</v>
      </c>
      <c r="AA32" s="8">
        <v>4.7289733899999999E-2</v>
      </c>
      <c r="AB32" s="7"/>
      <c r="AC32" s="9">
        <f t="shared" si="0"/>
        <v>4.7289733899999999E-2</v>
      </c>
      <c r="AD32" s="10" t="str">
        <f t="shared" si="1"/>
        <v>2023</v>
      </c>
      <c r="AE32" s="9">
        <f t="shared" si="2"/>
        <v>6.406313038E-2</v>
      </c>
      <c r="AF32" s="9">
        <f t="shared" si="3"/>
        <v>0.1027102661</v>
      </c>
    </row>
    <row r="33" spans="1:32" x14ac:dyDescent="0.2">
      <c r="A33" s="6" t="s">
        <v>217</v>
      </c>
      <c r="B33" s="6" t="s">
        <v>218</v>
      </c>
      <c r="C33" s="6"/>
      <c r="D33" s="7">
        <v>7.5015878699999997E-2</v>
      </c>
      <c r="E33" s="7">
        <v>0.1117305183</v>
      </c>
      <c r="F33" s="7">
        <v>9.5042781799999976E-2</v>
      </c>
      <c r="G33" s="7">
        <v>0.1136700153</v>
      </c>
      <c r="H33" s="7">
        <v>9.631425859999998E-2</v>
      </c>
      <c r="I33" s="7">
        <v>8.8029909100000026E-2</v>
      </c>
      <c r="J33" s="7">
        <v>8.9211149199999992E-2</v>
      </c>
      <c r="K33" s="7">
        <v>0.1009019661</v>
      </c>
      <c r="L33" s="7">
        <v>8.1084880799999995E-2</v>
      </c>
      <c r="M33" s="7">
        <v>8.3116550400000017E-2</v>
      </c>
      <c r="N33" s="7">
        <v>7.2267522799999984E-2</v>
      </c>
      <c r="O33" s="7">
        <v>8.6077766400000005E-2</v>
      </c>
      <c r="P33" s="7">
        <v>8.8649692500000002E-2</v>
      </c>
      <c r="Q33" s="7">
        <v>9.0295562699999984E-2</v>
      </c>
      <c r="R33" s="7">
        <v>9.9830713299999999E-2</v>
      </c>
      <c r="S33" s="7">
        <v>0.1009395409</v>
      </c>
      <c r="T33" s="7">
        <v>0.1039242458</v>
      </c>
      <c r="U33" s="7">
        <v>9.1237487799999975E-2</v>
      </c>
      <c r="V33" s="7">
        <v>0.11265526770000001</v>
      </c>
      <c r="W33" s="7">
        <v>0.1178346062</v>
      </c>
      <c r="X33" s="7">
        <v>0.1344707775</v>
      </c>
      <c r="Y33" s="7">
        <v>0.14889709470000001</v>
      </c>
      <c r="Z33" s="7">
        <v>0.16064220430000001</v>
      </c>
      <c r="AA33" s="7">
        <v>0.1378944969</v>
      </c>
      <c r="AB33" s="7"/>
      <c r="AC33" s="9">
        <f t="shared" si="0"/>
        <v>0.1378944969</v>
      </c>
      <c r="AD33" s="10" t="str">
        <f t="shared" si="1"/>
        <v>2023</v>
      </c>
      <c r="AE33" s="9">
        <f t="shared" si="2"/>
        <v>0.13994783591999999</v>
      </c>
      <c r="AF33" s="9">
        <f t="shared" si="3"/>
        <v>1.2105503099999998E-2</v>
      </c>
    </row>
    <row r="34" spans="1:32" x14ac:dyDescent="0.2">
      <c r="A34" s="6" t="s">
        <v>54</v>
      </c>
      <c r="B34" s="6" t="s">
        <v>55</v>
      </c>
      <c r="C34" s="6"/>
      <c r="D34" s="7">
        <v>8.5917358399999977E-2</v>
      </c>
      <c r="E34" s="7">
        <v>7.8303179700000017E-2</v>
      </c>
      <c r="F34" s="7">
        <v>8.2978315400000002E-2</v>
      </c>
      <c r="G34" s="7">
        <v>9.4304418599999995E-2</v>
      </c>
      <c r="H34" s="7">
        <v>9.9010906200000012E-2</v>
      </c>
      <c r="I34" s="7">
        <v>9.8973665200000005E-2</v>
      </c>
      <c r="J34" s="7">
        <v>7.4111046799999997E-2</v>
      </c>
      <c r="K34" s="7">
        <v>6.7482747999999995E-2</v>
      </c>
      <c r="L34" s="7">
        <v>6.6590457000000006E-2</v>
      </c>
      <c r="M34" s="7">
        <v>5.9676833200000008E-2</v>
      </c>
      <c r="N34" s="7">
        <v>6.5196423500000003E-2</v>
      </c>
      <c r="O34" s="7">
        <v>6.2146067599999993E-2</v>
      </c>
      <c r="P34" s="7">
        <v>6.3306508099999992E-2</v>
      </c>
      <c r="Q34" s="7">
        <v>6.7916836699999997E-2</v>
      </c>
      <c r="R34" s="7">
        <v>6.1677031499999993E-2</v>
      </c>
      <c r="S34" s="7">
        <v>6.9401135400000008E-2</v>
      </c>
      <c r="T34" s="7">
        <v>6.8482499099999983E-2</v>
      </c>
      <c r="U34" s="7">
        <v>6.9959144599999967E-2</v>
      </c>
      <c r="V34" s="7">
        <v>7.5233430899999995E-2</v>
      </c>
      <c r="W34" s="7">
        <v>6.9910354599999988E-2</v>
      </c>
      <c r="X34" s="7">
        <v>6.8979673399999997E-2</v>
      </c>
      <c r="Y34" s="7">
        <v>0.14310492520000001</v>
      </c>
      <c r="Z34" s="7">
        <v>6.4150881800000004E-2</v>
      </c>
      <c r="AA34" s="7">
        <v>6.6474256499999995E-2</v>
      </c>
      <c r="AB34" s="7"/>
      <c r="AC34" s="9">
        <f t="shared" si="0"/>
        <v>6.6474256499999995E-2</v>
      </c>
      <c r="AD34" s="10" t="str">
        <f t="shared" si="1"/>
        <v>2023</v>
      </c>
      <c r="AE34" s="9">
        <f t="shared" si="2"/>
        <v>8.2524018300000002E-2</v>
      </c>
      <c r="AF34" s="9">
        <f t="shared" si="3"/>
        <v>8.3525743499999999E-2</v>
      </c>
    </row>
    <row r="35" spans="1:32" x14ac:dyDescent="0.2">
      <c r="A35" s="6" t="s">
        <v>56</v>
      </c>
      <c r="B35" s="6" t="s">
        <v>57</v>
      </c>
      <c r="C35" s="6" t="s">
        <v>49</v>
      </c>
      <c r="D35" s="7">
        <v>4.42626905E-2</v>
      </c>
      <c r="E35" s="7">
        <v>5.34374762E-2</v>
      </c>
      <c r="F35" s="7">
        <v>6.4329853100000015E-2</v>
      </c>
      <c r="G35" s="7">
        <v>6.5153770400000019E-2</v>
      </c>
      <c r="H35" s="7">
        <v>5.2618336699999997E-2</v>
      </c>
      <c r="I35" s="7">
        <v>5.2474880199999997E-2</v>
      </c>
      <c r="J35" s="7">
        <v>5.1831469499999998E-2</v>
      </c>
      <c r="K35" s="7">
        <v>4.2260818499999991E-2</v>
      </c>
      <c r="L35" s="7">
        <v>3.4610514600000003E-2</v>
      </c>
      <c r="M35" s="7">
        <v>3.04738736E-2</v>
      </c>
      <c r="N35" s="7">
        <v>2.67579794E-2</v>
      </c>
      <c r="O35" s="7">
        <v>3.2104811699999999E-2</v>
      </c>
      <c r="P35" s="7">
        <v>3.731803420000001E-2</v>
      </c>
      <c r="Q35" s="7">
        <v>2.5009560600000001E-2</v>
      </c>
      <c r="R35" s="7">
        <v>2.9397316E-2</v>
      </c>
      <c r="S35" s="7">
        <v>1.8129396400000001E-2</v>
      </c>
      <c r="T35" s="8">
        <v>1.8129396400000001E-2</v>
      </c>
      <c r="U35" s="7">
        <v>7.3440902999999998E-3</v>
      </c>
      <c r="V35" s="7">
        <v>1.95703375E-2</v>
      </c>
      <c r="W35" s="7">
        <v>2.17985916E-2</v>
      </c>
      <c r="X35" s="7">
        <v>3.6595056100000002E-2</v>
      </c>
      <c r="Y35" s="7">
        <v>2.8629238599999999E-2</v>
      </c>
      <c r="Z35" s="7">
        <v>3.91280055E-2</v>
      </c>
      <c r="AA35" s="8">
        <v>3.91280055E-2</v>
      </c>
      <c r="AB35" s="7"/>
      <c r="AC35" s="9">
        <f t="shared" si="0"/>
        <v>3.91280055E-2</v>
      </c>
      <c r="AD35" s="10" t="str">
        <f t="shared" si="1"/>
        <v>2023</v>
      </c>
      <c r="AE35" s="9">
        <f t="shared" si="2"/>
        <v>3.3055779460000004E-2</v>
      </c>
      <c r="AF35" s="9">
        <f t="shared" si="3"/>
        <v>0.11087199449999999</v>
      </c>
    </row>
    <row r="36" spans="1:32" x14ac:dyDescent="0.2">
      <c r="A36" s="6" t="s">
        <v>219</v>
      </c>
      <c r="B36" s="6" t="s">
        <v>220</v>
      </c>
      <c r="C36" s="6"/>
      <c r="D36" s="7">
        <v>0.14815627100000001</v>
      </c>
      <c r="E36" s="7">
        <v>0.1527647972</v>
      </c>
      <c r="F36" s="7">
        <v>0.15882566449999999</v>
      </c>
      <c r="G36" s="7">
        <v>0.16363544460000001</v>
      </c>
      <c r="H36" s="7">
        <v>0.169260788</v>
      </c>
      <c r="I36" s="7">
        <v>0.17131038670000001</v>
      </c>
      <c r="J36" s="7">
        <v>0.16781703949999999</v>
      </c>
      <c r="K36" s="7">
        <v>0.17068181990000009</v>
      </c>
      <c r="L36" s="7">
        <v>0.17281909940000001</v>
      </c>
      <c r="M36" s="7">
        <v>0.1732548904</v>
      </c>
      <c r="N36" s="7">
        <v>0.1737709808</v>
      </c>
      <c r="O36" s="7">
        <v>0.17589609149999991</v>
      </c>
      <c r="P36" s="7">
        <v>0.18173801419999999</v>
      </c>
      <c r="Q36" s="7">
        <v>0.18530561449999999</v>
      </c>
      <c r="R36" s="7">
        <v>0.18969894409999999</v>
      </c>
      <c r="S36" s="7">
        <v>0.19068136220000001</v>
      </c>
      <c r="T36" s="7">
        <v>0.1896101761</v>
      </c>
      <c r="U36" s="7">
        <v>0.18809015270000001</v>
      </c>
      <c r="V36" s="7">
        <v>0.18701818470000001</v>
      </c>
      <c r="W36" s="7">
        <v>0.18927598949999999</v>
      </c>
      <c r="X36" s="7">
        <v>0.1836311722</v>
      </c>
      <c r="Y36" s="7">
        <v>0.19796777730000001</v>
      </c>
      <c r="Z36" s="7">
        <v>0.1936143303</v>
      </c>
      <c r="AA36" s="7">
        <v>0.18684921260000001</v>
      </c>
      <c r="AB36" s="7">
        <v>0.1775659752</v>
      </c>
      <c r="AC36" s="9">
        <f t="shared" si="0"/>
        <v>0.1775659752</v>
      </c>
      <c r="AD36" s="10" t="str">
        <f t="shared" si="1"/>
        <v>2024</v>
      </c>
      <c r="AE36" s="9">
        <f t="shared" si="2"/>
        <v>0.18815074285</v>
      </c>
      <c r="AF36" s="9">
        <f t="shared" si="3"/>
        <v>0</v>
      </c>
    </row>
    <row r="37" spans="1:32" x14ac:dyDescent="0.2">
      <c r="A37" s="6" t="s">
        <v>58</v>
      </c>
      <c r="B37" s="6" t="s">
        <v>59</v>
      </c>
      <c r="C37" s="6"/>
      <c r="D37" s="7">
        <v>0.1002161694</v>
      </c>
      <c r="E37" s="7">
        <v>0.10725757599999999</v>
      </c>
      <c r="F37" s="7">
        <v>8.6075210599999993E-2</v>
      </c>
      <c r="G37" s="7">
        <v>0.12548629759999999</v>
      </c>
      <c r="H37" s="7">
        <v>0.1127606392</v>
      </c>
      <c r="I37" s="7">
        <v>6.4003949199999993E-2</v>
      </c>
      <c r="J37" s="7">
        <v>9.177922249999998E-2</v>
      </c>
      <c r="K37" s="7">
        <v>9.8746585799999981E-2</v>
      </c>
      <c r="L37" s="7">
        <v>5.2834930400000001E-2</v>
      </c>
      <c r="M37" s="7">
        <v>4.57543802E-2</v>
      </c>
      <c r="N37" s="7">
        <v>3.3414733399999987E-2</v>
      </c>
      <c r="O37" s="7">
        <v>2.9325563900000001E-2</v>
      </c>
      <c r="P37" s="7">
        <v>4.2233171500000007E-2</v>
      </c>
      <c r="Q37" s="7">
        <v>7.3451528499999974E-2</v>
      </c>
      <c r="R37" s="7">
        <v>3.9467859299999998E-2</v>
      </c>
      <c r="S37" s="7">
        <v>3.2645256499999997E-2</v>
      </c>
      <c r="T37" s="7">
        <v>4.9471330600000002E-2</v>
      </c>
      <c r="U37" s="7">
        <v>5.2599773399999987E-2</v>
      </c>
      <c r="V37" s="7">
        <v>3.9108746100000008E-2</v>
      </c>
      <c r="W37" s="7">
        <v>4.8423175800000023E-2</v>
      </c>
      <c r="X37" s="7">
        <v>4.8644204100000012E-2</v>
      </c>
      <c r="Y37" s="7">
        <v>6.4207348800000008E-2</v>
      </c>
      <c r="Z37" s="7">
        <v>8.4761972399999996E-2</v>
      </c>
      <c r="AA37" s="8">
        <v>8.4761972399999996E-2</v>
      </c>
      <c r="AB37" s="7"/>
      <c r="AC37" s="9">
        <f t="shared" ref="AC37:AC68" si="4">LOOKUP(9.99E+307,D37:AB37)</f>
        <v>8.4761972399999996E-2</v>
      </c>
      <c r="AD37" s="10" t="str">
        <f t="shared" ref="AD37:AD68" si="5">LOOKUP(9.99E+307,D37:AB37,D$4:AB$4)</f>
        <v>2023</v>
      </c>
      <c r="AE37" s="9">
        <f t="shared" ref="AE37:AE68" si="6">IFERROR(AVERAGE(W37:AB37),"")</f>
        <v>6.61597347E-2</v>
      </c>
      <c r="AF37" s="9">
        <f t="shared" ref="AF37:AF68" si="7">MAX(0,$B$2-AC37)</f>
        <v>6.5238027599999998E-2</v>
      </c>
    </row>
    <row r="38" spans="1:32" x14ac:dyDescent="0.2">
      <c r="A38" s="6" t="s">
        <v>221</v>
      </c>
      <c r="B38" s="6" t="s">
        <v>222</v>
      </c>
      <c r="C38" s="6"/>
      <c r="D38" s="7">
        <v>0.1139878941</v>
      </c>
      <c r="E38" s="7">
        <v>0.1186877632</v>
      </c>
      <c r="F38" s="7">
        <v>0.1172442532</v>
      </c>
      <c r="G38" s="7">
        <v>8.981556889999999E-2</v>
      </c>
      <c r="H38" s="7">
        <v>0.150313797</v>
      </c>
      <c r="I38" s="7">
        <v>0.1242341423</v>
      </c>
      <c r="J38" s="7">
        <v>7.1446390200000001E-2</v>
      </c>
      <c r="K38" s="7">
        <v>5.9949445699999993E-2</v>
      </c>
      <c r="L38" s="7">
        <v>4.2314992000000003E-2</v>
      </c>
      <c r="M38" s="7">
        <v>3.5498657200000013E-2</v>
      </c>
      <c r="N38" s="7">
        <v>3.4979271899999997E-2</v>
      </c>
      <c r="O38" s="7">
        <v>3.6880266699999997E-2</v>
      </c>
      <c r="P38" s="7">
        <v>3.9646971199999992E-2</v>
      </c>
      <c r="Q38" s="7">
        <v>5.0367927599999987E-2</v>
      </c>
      <c r="R38" s="7">
        <v>5.548615459999999E-2</v>
      </c>
      <c r="S38" s="7">
        <v>5.2452025399999998E-2</v>
      </c>
      <c r="T38" s="7">
        <v>5.7250208899999981E-2</v>
      </c>
      <c r="U38" s="7">
        <v>4.6783957500000008E-2</v>
      </c>
      <c r="V38" s="7">
        <v>4.8614954899999993E-2</v>
      </c>
      <c r="W38" s="8">
        <v>4.8614954899999993E-2</v>
      </c>
      <c r="X38" s="7">
        <v>3.9544351100000007E-2</v>
      </c>
      <c r="Y38" s="7">
        <v>5.64191198E-2</v>
      </c>
      <c r="Z38" s="7">
        <v>7.2637333900000003E-2</v>
      </c>
      <c r="AA38" s="8">
        <v>7.2637333900000003E-2</v>
      </c>
      <c r="AB38" s="7"/>
      <c r="AC38" s="9">
        <f t="shared" si="4"/>
        <v>7.2637333900000003E-2</v>
      </c>
      <c r="AD38" s="10" t="str">
        <f t="shared" si="5"/>
        <v>2023</v>
      </c>
      <c r="AE38" s="9">
        <f t="shared" si="6"/>
        <v>5.7970618719999999E-2</v>
      </c>
      <c r="AF38" s="9">
        <f t="shared" si="7"/>
        <v>7.7362666099999991E-2</v>
      </c>
    </row>
    <row r="39" spans="1:32" x14ac:dyDescent="0.2">
      <c r="A39" s="6" t="s">
        <v>223</v>
      </c>
      <c r="B39" s="6" t="s">
        <v>224</v>
      </c>
      <c r="C39" s="6"/>
      <c r="D39" s="7">
        <v>0.1095628929</v>
      </c>
      <c r="E39" s="7">
        <v>0.1113347244</v>
      </c>
      <c r="F39" s="7">
        <v>0.1166363049</v>
      </c>
      <c r="G39" s="7">
        <v>0.1248133278</v>
      </c>
      <c r="H39" s="7">
        <v>0.13101777079999999</v>
      </c>
      <c r="I39" s="7">
        <v>0.1286940479</v>
      </c>
      <c r="J39" s="7">
        <v>0.1340539932</v>
      </c>
      <c r="K39" s="7">
        <v>0.1359831047</v>
      </c>
      <c r="L39" s="7">
        <v>0.1346145725</v>
      </c>
      <c r="M39" s="7">
        <v>0.13603491779999999</v>
      </c>
      <c r="N39" s="7">
        <v>0.13689023019999999</v>
      </c>
      <c r="O39" s="7">
        <v>0.14010505679999999</v>
      </c>
      <c r="P39" s="7">
        <v>0.14573092460000001</v>
      </c>
      <c r="Q39" s="7">
        <v>0.15411277770000001</v>
      </c>
      <c r="R39" s="7">
        <v>0.15693083760000001</v>
      </c>
      <c r="S39" s="7">
        <v>0.1602235031</v>
      </c>
      <c r="T39" s="7">
        <v>0.1675084496</v>
      </c>
      <c r="U39" s="7">
        <v>0.17972158429999999</v>
      </c>
      <c r="V39" s="7">
        <v>0.18303989409999999</v>
      </c>
      <c r="W39" s="7">
        <v>0.1801159668</v>
      </c>
      <c r="X39" s="7">
        <v>0.18839195249999999</v>
      </c>
      <c r="Y39" s="7">
        <v>0.1552394772</v>
      </c>
      <c r="Z39" s="7">
        <v>0.1904703331</v>
      </c>
      <c r="AA39" s="7">
        <v>0.19166330340000001</v>
      </c>
      <c r="AB39" s="7">
        <v>0.1929641342</v>
      </c>
      <c r="AC39" s="9">
        <f t="shared" si="4"/>
        <v>0.1929641342</v>
      </c>
      <c r="AD39" s="10" t="str">
        <f t="shared" si="5"/>
        <v>2024</v>
      </c>
      <c r="AE39" s="9">
        <f t="shared" si="6"/>
        <v>0.18314086120000003</v>
      </c>
      <c r="AF39" s="9">
        <f t="shared" si="7"/>
        <v>0</v>
      </c>
    </row>
    <row r="40" spans="1:32" x14ac:dyDescent="0.2">
      <c r="A40" s="6" t="s">
        <v>225</v>
      </c>
      <c r="B40" s="6" t="s">
        <v>226</v>
      </c>
      <c r="C40" s="6"/>
      <c r="D40" s="7">
        <v>6.0898408899999999E-2</v>
      </c>
      <c r="E40" s="7">
        <v>5.5892419799999989E-2</v>
      </c>
      <c r="F40" s="7">
        <v>6.0258030900000002E-2</v>
      </c>
      <c r="G40" s="7">
        <v>6.8765296899999995E-2</v>
      </c>
      <c r="H40" s="7">
        <v>7.2660584400000006E-2</v>
      </c>
      <c r="I40" s="7">
        <v>7.4888291400000015E-2</v>
      </c>
      <c r="J40" s="7">
        <v>7.5638208400000004E-2</v>
      </c>
      <c r="K40" s="7">
        <v>7.9013571699999993E-2</v>
      </c>
      <c r="L40" s="7">
        <v>7.7085823999999997E-2</v>
      </c>
      <c r="M40" s="7">
        <v>8.3752317399999998E-2</v>
      </c>
      <c r="N40" s="7">
        <v>8.7509221999999998E-2</v>
      </c>
      <c r="O40" s="7">
        <v>8.6028499600000002E-2</v>
      </c>
      <c r="P40" s="7">
        <v>9.0372934299999999E-2</v>
      </c>
      <c r="Q40" s="7">
        <v>9.4168424600000022E-2</v>
      </c>
      <c r="R40" s="7">
        <v>9.6608858099999986E-2</v>
      </c>
      <c r="S40" s="7">
        <v>9.4190235100000005E-2</v>
      </c>
      <c r="T40" s="7">
        <v>8.9527654599999978E-2</v>
      </c>
      <c r="U40" s="7">
        <v>8.7973442099999979E-2</v>
      </c>
      <c r="V40" s="7">
        <v>8.7614631699999987E-2</v>
      </c>
      <c r="W40" s="7">
        <v>8.7695617699999992E-2</v>
      </c>
      <c r="X40" s="7">
        <v>8.6463260700000003E-2</v>
      </c>
      <c r="Y40" s="7">
        <v>8.9053544999999998E-2</v>
      </c>
      <c r="Z40" s="7">
        <v>0.1039417267</v>
      </c>
      <c r="AA40" s="7">
        <v>0.1036797714</v>
      </c>
      <c r="AB40" s="7"/>
      <c r="AC40" s="9">
        <f t="shared" si="4"/>
        <v>0.1036797714</v>
      </c>
      <c r="AD40" s="10" t="str">
        <f t="shared" si="5"/>
        <v>2023</v>
      </c>
      <c r="AE40" s="9">
        <f t="shared" si="6"/>
        <v>9.41667843E-2</v>
      </c>
      <c r="AF40" s="9">
        <f t="shared" si="7"/>
        <v>4.6320228599999999E-2</v>
      </c>
    </row>
    <row r="41" spans="1:32" x14ac:dyDescent="0.2">
      <c r="A41" s="6" t="s">
        <v>227</v>
      </c>
      <c r="B41" s="6" t="s">
        <v>228</v>
      </c>
      <c r="C41" s="6"/>
      <c r="D41" s="7">
        <v>0.14881616589999999</v>
      </c>
      <c r="E41" s="7">
        <v>0.15377504350000001</v>
      </c>
      <c r="F41" s="7">
        <v>0.14864780429999999</v>
      </c>
      <c r="G41" s="7">
        <v>0.15598855019999999</v>
      </c>
      <c r="H41" s="7">
        <v>0.1573734665</v>
      </c>
      <c r="I41" s="7">
        <v>0.1683091927</v>
      </c>
      <c r="J41" s="7">
        <v>0.16057571409999999</v>
      </c>
      <c r="K41" s="7">
        <v>0.16284442900000001</v>
      </c>
      <c r="L41" s="7">
        <v>0.16693029400000001</v>
      </c>
      <c r="M41" s="7">
        <v>0.170406208</v>
      </c>
      <c r="N41" s="7">
        <v>0.16827739720000001</v>
      </c>
      <c r="O41" s="7">
        <v>0.1648455429</v>
      </c>
      <c r="P41" s="7">
        <v>0.16199552540000001</v>
      </c>
      <c r="Q41" s="7">
        <v>0.1634110641</v>
      </c>
      <c r="R41" s="7">
        <v>0.16182764050000001</v>
      </c>
      <c r="S41" s="7">
        <v>0.1703754425</v>
      </c>
      <c r="T41" s="7">
        <v>0.17659179689999999</v>
      </c>
      <c r="U41" s="7">
        <v>0.1860467529</v>
      </c>
      <c r="V41" s="7">
        <v>0.1554749584</v>
      </c>
      <c r="W41" s="7">
        <v>0.16659067150000001</v>
      </c>
      <c r="X41" s="7">
        <v>0.18450231550000001</v>
      </c>
      <c r="Y41" s="7">
        <v>0.19372188570000001</v>
      </c>
      <c r="Z41" s="7">
        <v>0.15766849520000001</v>
      </c>
      <c r="AA41" s="7">
        <v>0.16186946869999999</v>
      </c>
      <c r="AB41" s="7">
        <v>0.17243501659999999</v>
      </c>
      <c r="AC41" s="9">
        <f t="shared" si="4"/>
        <v>0.17243501659999999</v>
      </c>
      <c r="AD41" s="10" t="str">
        <f t="shared" si="5"/>
        <v>2024</v>
      </c>
      <c r="AE41" s="9">
        <f t="shared" si="6"/>
        <v>0.17279797553333334</v>
      </c>
      <c r="AF41" s="9">
        <f t="shared" si="7"/>
        <v>0</v>
      </c>
    </row>
    <row r="42" spans="1:32" x14ac:dyDescent="0.2">
      <c r="A42" s="6" t="s">
        <v>229</v>
      </c>
      <c r="B42" s="6" t="s">
        <v>230</v>
      </c>
      <c r="C42" s="6"/>
      <c r="D42" s="7">
        <v>9.1551465999999984E-2</v>
      </c>
      <c r="E42" s="7">
        <v>4.1141681700000002E-2</v>
      </c>
      <c r="F42" s="7">
        <v>6.7107038499999994E-2</v>
      </c>
      <c r="G42" s="7">
        <v>6.6844735100000011E-2</v>
      </c>
      <c r="H42" s="7">
        <v>6.7557420699999995E-2</v>
      </c>
      <c r="I42" s="7">
        <v>5.4200544399999988E-2</v>
      </c>
      <c r="J42" s="7">
        <v>5.1817398100000023E-2</v>
      </c>
      <c r="K42" s="7">
        <v>4.3323988899999992E-2</v>
      </c>
      <c r="L42" s="7">
        <v>2.8645396199999999E-2</v>
      </c>
      <c r="M42" s="7">
        <v>2.7746560600000001E-2</v>
      </c>
      <c r="N42" s="7">
        <v>2.8392360200000001E-2</v>
      </c>
      <c r="O42" s="7">
        <v>7.2384433700000014E-2</v>
      </c>
      <c r="P42" s="7">
        <v>5.3522481899999988E-2</v>
      </c>
      <c r="Q42" s="7">
        <v>4.4499650000000009E-2</v>
      </c>
      <c r="R42" s="7">
        <v>3.8196549400000002E-2</v>
      </c>
      <c r="S42" s="7">
        <v>2.4457151900000001E-2</v>
      </c>
      <c r="T42" s="7">
        <v>3.0360751200000001E-2</v>
      </c>
      <c r="U42" s="7">
        <v>3.5854959500000012E-2</v>
      </c>
      <c r="V42" s="7">
        <v>3.9939124600000001E-2</v>
      </c>
      <c r="W42" s="7">
        <v>4.1334567099999997E-2</v>
      </c>
      <c r="X42" s="7">
        <v>6.88908243E-2</v>
      </c>
      <c r="Y42" s="7">
        <v>4.7373166100000003E-2</v>
      </c>
      <c r="Z42" s="8">
        <v>4.7373166100000003E-2</v>
      </c>
      <c r="AA42" s="8">
        <v>4.7373166100000003E-2</v>
      </c>
      <c r="AB42" s="7"/>
      <c r="AC42" s="9">
        <f t="shared" si="4"/>
        <v>4.7373166100000003E-2</v>
      </c>
      <c r="AD42" s="10" t="str">
        <f t="shared" si="5"/>
        <v>2023</v>
      </c>
      <c r="AE42" s="9">
        <f t="shared" si="6"/>
        <v>5.0468977940000007E-2</v>
      </c>
      <c r="AF42" s="9">
        <f t="shared" si="7"/>
        <v>0.10262683389999999</v>
      </c>
    </row>
    <row r="43" spans="1:32" x14ac:dyDescent="0.2">
      <c r="A43" s="6" t="s">
        <v>231</v>
      </c>
      <c r="B43" s="6" t="s">
        <v>232</v>
      </c>
      <c r="C43" s="6"/>
      <c r="D43" s="7">
        <v>2.272903439999999E-2</v>
      </c>
      <c r="E43" s="7">
        <v>3.3190190799999991E-2</v>
      </c>
      <c r="F43" s="7">
        <v>1.3442719000000001E-2</v>
      </c>
      <c r="G43" s="7">
        <v>1.8552578699999999E-2</v>
      </c>
      <c r="H43" s="7">
        <v>1.78429937E-2</v>
      </c>
      <c r="I43" s="7">
        <v>1.9531525399999999E-2</v>
      </c>
      <c r="J43" s="7">
        <v>2.08378863E-2</v>
      </c>
      <c r="K43" s="7">
        <v>2.0520796800000001E-2</v>
      </c>
      <c r="L43" s="7">
        <v>4.5489220599999998E-2</v>
      </c>
      <c r="M43" s="7">
        <v>2.5281646299999998E-2</v>
      </c>
      <c r="N43" s="7">
        <v>3.6021020400000013E-2</v>
      </c>
      <c r="O43" s="7">
        <v>2.3368313299999999E-2</v>
      </c>
      <c r="P43" s="7">
        <v>2.6713101900000001E-2</v>
      </c>
      <c r="Q43" s="7">
        <v>2.209516290000001E-2</v>
      </c>
      <c r="R43" s="7">
        <v>1.9499675000000001E-2</v>
      </c>
      <c r="S43" s="7">
        <v>2.70981026E-2</v>
      </c>
      <c r="T43" s="7">
        <v>2.885023120000001E-2</v>
      </c>
      <c r="U43" s="7">
        <v>3.4111473599999997E-2</v>
      </c>
      <c r="V43" s="7">
        <v>3.4871990700000001E-2</v>
      </c>
      <c r="W43" s="7">
        <v>5.1072521199999998E-2</v>
      </c>
      <c r="X43" s="7">
        <v>8.2168407400000004E-2</v>
      </c>
      <c r="Y43" s="8">
        <v>8.2168407400000004E-2</v>
      </c>
      <c r="Z43" s="7">
        <v>3.5258798600000002E-2</v>
      </c>
      <c r="AA43" s="7">
        <v>5.4217748600000011E-2</v>
      </c>
      <c r="AB43" s="7"/>
      <c r="AC43" s="9">
        <f t="shared" si="4"/>
        <v>5.4217748600000011E-2</v>
      </c>
      <c r="AD43" s="10" t="str">
        <f t="shared" si="5"/>
        <v>2023</v>
      </c>
      <c r="AE43" s="9">
        <f t="shared" si="6"/>
        <v>6.0977176640000005E-2</v>
      </c>
      <c r="AF43" s="9">
        <f t="shared" si="7"/>
        <v>9.578225139999999E-2</v>
      </c>
    </row>
    <row r="44" spans="1:32" x14ac:dyDescent="0.2">
      <c r="A44" s="6" t="s">
        <v>233</v>
      </c>
      <c r="B44" s="6" t="s">
        <v>234</v>
      </c>
      <c r="C44" s="6"/>
      <c r="D44" s="7">
        <v>9.6333189000000014E-2</v>
      </c>
      <c r="E44" s="8">
        <v>9.6333179500000005E-2</v>
      </c>
      <c r="F44" s="7">
        <v>0.1012443733</v>
      </c>
      <c r="G44" s="7">
        <v>9.6333169900000015E-2</v>
      </c>
      <c r="H44" s="8">
        <v>9.633316040000002E-2</v>
      </c>
      <c r="I44" s="8">
        <v>9.633316040000002E-2</v>
      </c>
      <c r="J44" s="7">
        <v>9.6311035200000006E-2</v>
      </c>
      <c r="K44" s="7">
        <v>9.6309766800000002E-2</v>
      </c>
      <c r="L44" s="7">
        <v>9.6322860700000013E-2</v>
      </c>
      <c r="M44" s="7">
        <v>0.1085850143</v>
      </c>
      <c r="N44" s="7">
        <v>9.537862779999999E-2</v>
      </c>
      <c r="O44" s="7">
        <v>8.8194341700000012E-2</v>
      </c>
      <c r="P44" s="7">
        <v>8.3177213699999988E-2</v>
      </c>
      <c r="Q44" s="7">
        <v>8.0714674E-2</v>
      </c>
      <c r="R44" s="7">
        <v>9.1433181799999985E-2</v>
      </c>
      <c r="S44" s="7">
        <v>7.24445534E-2</v>
      </c>
      <c r="T44" s="7">
        <v>8.1484422700000003E-2</v>
      </c>
      <c r="U44" s="7">
        <v>7.2633814800000002E-2</v>
      </c>
      <c r="V44" s="7">
        <v>7.6654877699999999E-2</v>
      </c>
      <c r="W44" s="7">
        <v>9.3362999000000002E-2</v>
      </c>
      <c r="X44" s="7">
        <v>0.1166571903</v>
      </c>
      <c r="Y44" s="7">
        <v>8.2263793899999993E-2</v>
      </c>
      <c r="Z44" s="7">
        <v>0.1075038052</v>
      </c>
      <c r="AA44" s="7">
        <v>0.10277830120000001</v>
      </c>
      <c r="AB44" s="7"/>
      <c r="AC44" s="9">
        <f t="shared" si="4"/>
        <v>0.10277830120000001</v>
      </c>
      <c r="AD44" s="10" t="str">
        <f t="shared" si="5"/>
        <v>2023</v>
      </c>
      <c r="AE44" s="9">
        <f t="shared" si="6"/>
        <v>0.10051321791999998</v>
      </c>
      <c r="AF44" s="9">
        <f t="shared" si="7"/>
        <v>4.7221698799999989E-2</v>
      </c>
    </row>
    <row r="45" spans="1:32" x14ac:dyDescent="0.2">
      <c r="A45" s="6" t="s">
        <v>235</v>
      </c>
      <c r="B45" s="6" t="s">
        <v>236</v>
      </c>
      <c r="C45" s="6"/>
      <c r="D45" s="7">
        <v>0.2526477432</v>
      </c>
      <c r="E45" s="7">
        <v>0.24561286930000001</v>
      </c>
      <c r="F45" s="7">
        <v>0.24758075709999999</v>
      </c>
      <c r="G45" s="7">
        <v>0.26331981659999998</v>
      </c>
      <c r="H45" s="7">
        <v>0.2573747253</v>
      </c>
      <c r="I45" s="7">
        <v>0.26825883869999989</v>
      </c>
      <c r="J45" s="7">
        <v>0.30262607570000011</v>
      </c>
      <c r="K45" s="7">
        <v>0.31738693239999999</v>
      </c>
      <c r="L45" s="7">
        <v>0.3336737441999999</v>
      </c>
      <c r="M45" s="7">
        <v>0.33472801210000008</v>
      </c>
      <c r="N45" s="7">
        <v>0.32182403559999989</v>
      </c>
      <c r="O45" s="7">
        <v>0.33184631349999999</v>
      </c>
      <c r="P45" s="7">
        <v>0.31732820509999998</v>
      </c>
      <c r="Q45" s="7">
        <v>0.29452592850000009</v>
      </c>
      <c r="R45" s="7">
        <v>0.29580949779999999</v>
      </c>
      <c r="S45" s="7">
        <v>0.29424846650000003</v>
      </c>
      <c r="T45" s="7">
        <v>0.28605955119999998</v>
      </c>
      <c r="U45" s="7">
        <v>0.27034313199999999</v>
      </c>
      <c r="V45" s="7">
        <v>0.27914709090000001</v>
      </c>
      <c r="W45" s="7">
        <v>0.2415332603</v>
      </c>
      <c r="X45" s="7">
        <v>0.25207145689999999</v>
      </c>
      <c r="Y45" s="7">
        <v>0.25772899630000012</v>
      </c>
      <c r="Z45" s="7">
        <v>0.25816146849999999</v>
      </c>
      <c r="AA45" s="7">
        <v>0.24907295230000001</v>
      </c>
      <c r="AB45" s="7"/>
      <c r="AC45" s="9">
        <f t="shared" si="4"/>
        <v>0.24907295230000001</v>
      </c>
      <c r="AD45" s="10" t="str">
        <f t="shared" si="5"/>
        <v>2023</v>
      </c>
      <c r="AE45" s="9">
        <f t="shared" si="6"/>
        <v>0.25171362686000004</v>
      </c>
      <c r="AF45" s="9">
        <f t="shared" si="7"/>
        <v>0</v>
      </c>
    </row>
    <row r="46" spans="1:32" x14ac:dyDescent="0.2">
      <c r="A46" s="6" t="s">
        <v>237</v>
      </c>
      <c r="B46" s="6" t="s">
        <v>238</v>
      </c>
      <c r="C46" s="6"/>
      <c r="D46" s="7">
        <v>0.1192357922</v>
      </c>
      <c r="E46" s="7">
        <v>0.1164404964</v>
      </c>
      <c r="F46" s="7">
        <v>9.8688945799999997E-2</v>
      </c>
      <c r="G46" s="7">
        <v>0.1031641197</v>
      </c>
      <c r="H46" s="7">
        <v>0.1059734058</v>
      </c>
      <c r="I46" s="7">
        <v>0.12509826660000001</v>
      </c>
      <c r="J46" s="7">
        <v>0.1311473179</v>
      </c>
      <c r="K46" s="7">
        <v>0.13788143159999999</v>
      </c>
      <c r="L46" s="7">
        <v>0.1383800697</v>
      </c>
      <c r="M46" s="7">
        <v>0.1351784134</v>
      </c>
      <c r="N46" s="7">
        <v>0.13775545119999999</v>
      </c>
      <c r="O46" s="7">
        <v>0.12867774009999999</v>
      </c>
      <c r="P46" s="7">
        <v>0.13348791120000009</v>
      </c>
      <c r="Q46" s="7">
        <v>0.1137504864</v>
      </c>
      <c r="R46" s="7">
        <v>0.1133470726</v>
      </c>
      <c r="S46" s="7">
        <v>0.1163655186</v>
      </c>
      <c r="T46" s="7">
        <v>0.1208862114</v>
      </c>
      <c r="U46" s="7">
        <v>0.124073143</v>
      </c>
      <c r="V46" s="7">
        <v>0.1227497387</v>
      </c>
      <c r="W46" s="7">
        <v>0.1195514011</v>
      </c>
      <c r="X46" s="7">
        <v>0.11709179879999999</v>
      </c>
      <c r="Y46" s="7">
        <v>0.1412883949</v>
      </c>
      <c r="Z46" s="7">
        <v>0.13709287640000001</v>
      </c>
      <c r="AA46" s="7">
        <v>0.12840256689999999</v>
      </c>
      <c r="AB46" s="7"/>
      <c r="AC46" s="9">
        <f t="shared" si="4"/>
        <v>0.12840256689999999</v>
      </c>
      <c r="AD46" s="10" t="str">
        <f t="shared" si="5"/>
        <v>2023</v>
      </c>
      <c r="AE46" s="9">
        <f t="shared" si="6"/>
        <v>0.12868540762</v>
      </c>
      <c r="AF46" s="9">
        <f t="shared" si="7"/>
        <v>2.1597433100000007E-2</v>
      </c>
    </row>
    <row r="47" spans="1:32" x14ac:dyDescent="0.2">
      <c r="A47" s="6" t="s">
        <v>239</v>
      </c>
      <c r="B47" s="6" t="s">
        <v>240</v>
      </c>
      <c r="C47" s="6"/>
      <c r="D47" s="7">
        <v>0.10802314759999999</v>
      </c>
      <c r="E47" s="7">
        <v>0.1139179516</v>
      </c>
      <c r="F47" s="7">
        <v>0.11190470700000001</v>
      </c>
      <c r="G47" s="7">
        <v>0.1089082336</v>
      </c>
      <c r="H47" s="7">
        <v>0.1032092667</v>
      </c>
      <c r="I47" s="7">
        <v>0.1166760921</v>
      </c>
      <c r="J47" s="7">
        <v>0.1120564365</v>
      </c>
      <c r="K47" s="7">
        <v>0.14481430049999999</v>
      </c>
      <c r="L47" s="7">
        <v>0.13177696229999999</v>
      </c>
      <c r="M47" s="7">
        <v>0.1493230438</v>
      </c>
      <c r="N47" s="7">
        <v>0.13865821840000001</v>
      </c>
      <c r="O47" s="7">
        <v>0.15093541150000001</v>
      </c>
      <c r="P47" s="7">
        <v>0.11494596479999999</v>
      </c>
      <c r="Q47" s="7">
        <v>0.1414057541</v>
      </c>
      <c r="R47" s="7">
        <v>0.18024471280000001</v>
      </c>
      <c r="S47" s="7">
        <v>0.182455864</v>
      </c>
      <c r="T47" s="7">
        <v>0.17302824019999999</v>
      </c>
      <c r="U47" s="7">
        <v>0.15512218480000001</v>
      </c>
      <c r="V47" s="7">
        <v>0.149355917</v>
      </c>
      <c r="W47" s="7">
        <v>0.15516299250000001</v>
      </c>
      <c r="X47" s="7">
        <v>0.1643104172</v>
      </c>
      <c r="Y47" s="7">
        <v>0.21482759479999999</v>
      </c>
      <c r="Z47" s="7">
        <v>0.21039636610000001</v>
      </c>
      <c r="AA47" s="7">
        <v>0.19977720260000001</v>
      </c>
      <c r="AB47" s="7"/>
      <c r="AC47" s="9">
        <f t="shared" si="4"/>
        <v>0.19977720260000001</v>
      </c>
      <c r="AD47" s="10" t="str">
        <f t="shared" si="5"/>
        <v>2023</v>
      </c>
      <c r="AE47" s="9">
        <f t="shared" si="6"/>
        <v>0.18889491464000002</v>
      </c>
      <c r="AF47" s="9">
        <f t="shared" si="7"/>
        <v>0</v>
      </c>
    </row>
    <row r="48" spans="1:32" x14ac:dyDescent="0.2">
      <c r="A48" s="6" t="s">
        <v>241</v>
      </c>
      <c r="B48" s="6" t="s">
        <v>242</v>
      </c>
      <c r="C48" s="6"/>
      <c r="D48" s="7">
        <v>5.9856963199999988E-2</v>
      </c>
      <c r="E48" s="7">
        <v>6.0168471300000012E-2</v>
      </c>
      <c r="F48" s="7">
        <v>6.4009690299999991E-2</v>
      </c>
      <c r="G48" s="7">
        <v>5.7754578600000002E-2</v>
      </c>
      <c r="H48" s="7">
        <v>5.4583501800000003E-2</v>
      </c>
      <c r="I48" s="7">
        <v>5.4313054099999987E-2</v>
      </c>
      <c r="J48" s="7">
        <v>5.7055769000000013E-2</v>
      </c>
      <c r="K48" s="7">
        <v>5.7653775200000007E-2</v>
      </c>
      <c r="L48" s="7">
        <v>6.1328058200000007E-2</v>
      </c>
      <c r="M48" s="7">
        <v>6.1237974200000003E-2</v>
      </c>
      <c r="N48" s="7">
        <v>6.6829466799999987E-2</v>
      </c>
      <c r="O48" s="7">
        <v>6.7843670800000005E-2</v>
      </c>
      <c r="P48" s="7">
        <v>5.5008144399999993E-2</v>
      </c>
      <c r="Q48" s="7">
        <v>6.8120861099999985E-2</v>
      </c>
      <c r="R48" s="7">
        <v>5.6516542400000008E-2</v>
      </c>
      <c r="S48" s="7">
        <v>6.6295127899999973E-2</v>
      </c>
      <c r="T48" s="7">
        <v>7.0549559599999992E-2</v>
      </c>
      <c r="U48" s="7">
        <v>7.1307568599999996E-2</v>
      </c>
      <c r="V48" s="7">
        <v>6.4431195299999994E-2</v>
      </c>
      <c r="W48" s="7">
        <v>9.4155998200000007E-2</v>
      </c>
      <c r="X48" s="7">
        <v>0.1352484608</v>
      </c>
      <c r="Y48" s="7">
        <v>0.16323246000000011</v>
      </c>
      <c r="Z48" s="7">
        <v>0.16590080260000001</v>
      </c>
      <c r="AA48" s="7">
        <v>0.1485917091</v>
      </c>
      <c r="AB48" s="7"/>
      <c r="AC48" s="9">
        <f t="shared" si="4"/>
        <v>0.1485917091</v>
      </c>
      <c r="AD48" s="10" t="str">
        <f t="shared" si="5"/>
        <v>2023</v>
      </c>
      <c r="AE48" s="9">
        <f t="shared" si="6"/>
        <v>0.14142588614000001</v>
      </c>
      <c r="AF48" s="9">
        <f t="shared" si="7"/>
        <v>1.4082908999999977E-3</v>
      </c>
    </row>
    <row r="49" spans="1:32" x14ac:dyDescent="0.2">
      <c r="A49" s="6" t="s">
        <v>243</v>
      </c>
      <c r="B49" s="6" t="s">
        <v>244</v>
      </c>
      <c r="C49" s="6"/>
      <c r="D49" s="7">
        <v>0.1238825798</v>
      </c>
      <c r="E49" s="7">
        <v>0.1183805084</v>
      </c>
      <c r="F49" s="7">
        <v>0.12182891849999999</v>
      </c>
      <c r="G49" s="7">
        <v>0.11619489669999999</v>
      </c>
      <c r="H49" s="7">
        <v>0.13144727710000001</v>
      </c>
      <c r="I49" s="7">
        <v>0.12754570009999999</v>
      </c>
      <c r="J49" s="7">
        <v>0.12711453440000001</v>
      </c>
      <c r="K49" s="7">
        <v>0.1240300465</v>
      </c>
      <c r="L49" s="7">
        <v>0.12545537949999999</v>
      </c>
      <c r="M49" s="7">
        <v>0.13544695849999999</v>
      </c>
      <c r="N49" s="7">
        <v>0.1469500732</v>
      </c>
      <c r="O49" s="7">
        <v>0.14741913800000001</v>
      </c>
      <c r="P49" s="7">
        <v>0.1437806797</v>
      </c>
      <c r="Q49" s="7">
        <v>0.1484314823</v>
      </c>
      <c r="R49" s="7">
        <v>0.14962428089999999</v>
      </c>
      <c r="S49" s="7">
        <v>0.14754028320000001</v>
      </c>
      <c r="T49" s="7">
        <v>0.15715847969999999</v>
      </c>
      <c r="U49" s="7">
        <v>0.15912028310000001</v>
      </c>
      <c r="V49" s="7">
        <v>0.15556312559999999</v>
      </c>
      <c r="W49" s="7">
        <v>0.1568214798</v>
      </c>
      <c r="X49" s="7">
        <v>0.17062261579999999</v>
      </c>
      <c r="Y49" s="7">
        <v>0.1758826828</v>
      </c>
      <c r="Z49" s="7">
        <v>0.16703617100000001</v>
      </c>
      <c r="AA49" s="7">
        <v>0.1618020439</v>
      </c>
      <c r="AB49" s="7"/>
      <c r="AC49" s="9">
        <f t="shared" si="4"/>
        <v>0.1618020439</v>
      </c>
      <c r="AD49" s="10" t="str">
        <f t="shared" si="5"/>
        <v>2023</v>
      </c>
      <c r="AE49" s="9">
        <f t="shared" si="6"/>
        <v>0.16643299866</v>
      </c>
      <c r="AF49" s="9">
        <f t="shared" si="7"/>
        <v>0</v>
      </c>
    </row>
    <row r="50" spans="1:32" x14ac:dyDescent="0.2">
      <c r="A50" s="6" t="s">
        <v>60</v>
      </c>
      <c r="B50" s="6" t="s">
        <v>61</v>
      </c>
      <c r="C50" s="6"/>
      <c r="D50" s="7">
        <v>4.5575985899999998E-2</v>
      </c>
      <c r="E50" s="7">
        <v>4.4565472599999989E-2</v>
      </c>
      <c r="F50" s="7">
        <v>4.1479587599999999E-2</v>
      </c>
      <c r="G50" s="7">
        <v>4.0670871700000007E-2</v>
      </c>
      <c r="H50" s="7">
        <v>4.1451525700000012E-2</v>
      </c>
      <c r="I50" s="7">
        <v>3.8913488399999988E-2</v>
      </c>
      <c r="J50" s="7">
        <v>3.8571844100000009E-2</v>
      </c>
      <c r="K50" s="7">
        <v>4.5792217299999993E-2</v>
      </c>
      <c r="L50" s="7">
        <v>4.6578812600000012E-2</v>
      </c>
      <c r="M50" s="7">
        <v>5.8213243499999991E-2</v>
      </c>
      <c r="N50" s="7">
        <v>5.8067884399999992E-2</v>
      </c>
      <c r="O50" s="7">
        <v>4.3936924899999993E-2</v>
      </c>
      <c r="P50" s="7">
        <v>4.6220030800000013E-2</v>
      </c>
      <c r="Q50" s="7">
        <v>4.5898828500000002E-2</v>
      </c>
      <c r="R50" s="7">
        <v>5.1112542200000007E-2</v>
      </c>
      <c r="S50" s="7">
        <v>4.8747077E-2</v>
      </c>
      <c r="T50" s="7">
        <v>4.8519926100000013E-2</v>
      </c>
      <c r="U50" s="7">
        <v>5.15028763E-2</v>
      </c>
      <c r="V50" s="7">
        <v>5.1172766699999997E-2</v>
      </c>
      <c r="W50" s="7">
        <v>5.6012759199999991E-2</v>
      </c>
      <c r="X50" s="7">
        <v>6.5383529699999998E-2</v>
      </c>
      <c r="Y50" s="7">
        <v>7.7738952599999994E-2</v>
      </c>
      <c r="Z50" s="7">
        <v>6.8222360599999976E-2</v>
      </c>
      <c r="AA50" s="7">
        <v>6.5832047500000004E-2</v>
      </c>
      <c r="AB50" s="7"/>
      <c r="AC50" s="9">
        <f t="shared" si="4"/>
        <v>6.5832047500000004E-2</v>
      </c>
      <c r="AD50" s="10" t="str">
        <f t="shared" si="5"/>
        <v>2023</v>
      </c>
      <c r="AE50" s="9">
        <f t="shared" si="6"/>
        <v>6.6637929919999978E-2</v>
      </c>
      <c r="AF50" s="9">
        <f t="shared" si="7"/>
        <v>8.416795249999999E-2</v>
      </c>
    </row>
    <row r="51" spans="1:32" x14ac:dyDescent="0.2">
      <c r="A51" s="6" t="s">
        <v>62</v>
      </c>
      <c r="B51" s="6" t="s">
        <v>63</v>
      </c>
      <c r="C51" s="6"/>
      <c r="D51" s="7">
        <v>2.4989526299999999E-2</v>
      </c>
      <c r="E51" s="8">
        <v>2.4989526299999999E-2</v>
      </c>
      <c r="F51" s="8">
        <v>2.4989526299999999E-2</v>
      </c>
      <c r="G51" s="8">
        <v>2.4989526299999999E-2</v>
      </c>
      <c r="H51" s="8">
        <v>2.4989526299999999E-2</v>
      </c>
      <c r="I51" s="8">
        <v>2.4989526299999999E-2</v>
      </c>
      <c r="J51" s="8">
        <v>2.4989526299999999E-2</v>
      </c>
      <c r="K51" s="8">
        <v>2.4989526299999999E-2</v>
      </c>
      <c r="L51" s="8">
        <v>2.4989526299999999E-2</v>
      </c>
      <c r="M51" s="8">
        <v>2.4989526299999999E-2</v>
      </c>
      <c r="N51" s="8">
        <v>2.4989526299999999E-2</v>
      </c>
      <c r="O51" s="7">
        <v>2.5320143699999999E-2</v>
      </c>
      <c r="P51" s="7">
        <v>3.8775920899999997E-2</v>
      </c>
      <c r="Q51" s="7">
        <v>3.9094405199999988E-2</v>
      </c>
      <c r="R51" s="7">
        <v>3.9867942299999987E-2</v>
      </c>
      <c r="S51" s="7">
        <v>4.1041536300000001E-2</v>
      </c>
      <c r="T51" s="7">
        <v>3.8077349699999999E-2</v>
      </c>
      <c r="U51" s="7">
        <v>3.8418848500000012E-2</v>
      </c>
      <c r="V51" s="7">
        <v>4.1669411699999992E-2</v>
      </c>
      <c r="W51" s="7">
        <v>4.1286587700000002E-2</v>
      </c>
      <c r="X51" s="7">
        <v>5.0872473699999997E-2</v>
      </c>
      <c r="Y51" s="7">
        <v>4.5126462000000013E-2</v>
      </c>
      <c r="Z51" s="7">
        <v>3.9843409099999998E-2</v>
      </c>
      <c r="AA51" s="7">
        <v>4.0007190700000007E-2</v>
      </c>
      <c r="AB51" s="7"/>
      <c r="AC51" s="9">
        <f t="shared" si="4"/>
        <v>4.0007190700000007E-2</v>
      </c>
      <c r="AD51" s="10" t="str">
        <f t="shared" si="5"/>
        <v>2023</v>
      </c>
      <c r="AE51" s="9">
        <f t="shared" si="6"/>
        <v>4.3427224639999998E-2</v>
      </c>
      <c r="AF51" s="9">
        <f t="shared" si="7"/>
        <v>0.10999280929999999</v>
      </c>
    </row>
    <row r="52" spans="1:32" x14ac:dyDescent="0.2">
      <c r="A52" s="6" t="s">
        <v>245</v>
      </c>
      <c r="B52" s="6" t="s">
        <v>246</v>
      </c>
      <c r="C52" s="6"/>
      <c r="D52" s="7">
        <v>0.1274854279</v>
      </c>
      <c r="E52" s="7">
        <v>0.13288516999999991</v>
      </c>
      <c r="F52" s="7">
        <v>0.13723656649999999</v>
      </c>
      <c r="G52" s="7">
        <v>0.1394339275</v>
      </c>
      <c r="H52" s="7">
        <v>0.142211647</v>
      </c>
      <c r="I52" s="7">
        <v>0.14872600559999999</v>
      </c>
      <c r="J52" s="7">
        <v>0.15441875460000001</v>
      </c>
      <c r="K52" s="7">
        <v>0.15744954110000001</v>
      </c>
      <c r="L52" s="7">
        <v>0.1582047462</v>
      </c>
      <c r="M52" s="7">
        <v>0.159365654</v>
      </c>
      <c r="N52" s="7">
        <v>0.15799385069999999</v>
      </c>
      <c r="O52" s="7">
        <v>0.15504165650000001</v>
      </c>
      <c r="P52" s="7">
        <v>0.1534686089</v>
      </c>
      <c r="Q52" s="7">
        <v>0.15648880000000001</v>
      </c>
      <c r="R52" s="7">
        <v>0.15806070329999999</v>
      </c>
      <c r="S52" s="7">
        <v>0.16064283369999999</v>
      </c>
      <c r="T52" s="7">
        <v>0.16533960340000001</v>
      </c>
      <c r="U52" s="7">
        <v>0.1678060341</v>
      </c>
      <c r="V52" s="7">
        <v>0.1673472214</v>
      </c>
      <c r="W52" s="7">
        <v>0.17117033000000001</v>
      </c>
      <c r="X52" s="7">
        <v>0.1690719795</v>
      </c>
      <c r="Y52" s="7">
        <v>0.1821759224</v>
      </c>
      <c r="Z52" s="7">
        <v>0.1781740379</v>
      </c>
      <c r="AA52" s="7">
        <v>0.1691726875</v>
      </c>
      <c r="AB52" s="7">
        <v>0.16858686449999999</v>
      </c>
      <c r="AC52" s="9">
        <f t="shared" si="4"/>
        <v>0.16858686449999999</v>
      </c>
      <c r="AD52" s="10" t="str">
        <f t="shared" si="5"/>
        <v>2024</v>
      </c>
      <c r="AE52" s="9">
        <f t="shared" si="6"/>
        <v>0.17305863696666668</v>
      </c>
      <c r="AF52" s="9">
        <f t="shared" si="7"/>
        <v>0</v>
      </c>
    </row>
    <row r="53" spans="1:32" x14ac:dyDescent="0.2">
      <c r="A53" s="6" t="s">
        <v>64</v>
      </c>
      <c r="B53" s="6" t="s">
        <v>65</v>
      </c>
      <c r="C53" s="6"/>
      <c r="D53" s="7">
        <v>6.07547617E-2</v>
      </c>
      <c r="E53" s="7">
        <v>5.9684047700000013E-2</v>
      </c>
      <c r="F53" s="7">
        <v>5.4956359900000008E-2</v>
      </c>
      <c r="G53" s="7">
        <v>5.8153071399999992E-2</v>
      </c>
      <c r="H53" s="7">
        <v>5.3861503600000013E-2</v>
      </c>
      <c r="I53" s="7">
        <v>5.3278183899999991E-2</v>
      </c>
      <c r="J53" s="7">
        <v>7.2324628799999999E-2</v>
      </c>
      <c r="K53" s="7">
        <v>6.5265922500000004E-2</v>
      </c>
      <c r="L53" s="7">
        <v>6.3488807700000011E-2</v>
      </c>
      <c r="M53" s="7">
        <v>6.139916900000001E-2</v>
      </c>
      <c r="N53" s="7">
        <v>6.970487119999999E-2</v>
      </c>
      <c r="O53" s="7">
        <v>8.4744920700000004E-2</v>
      </c>
      <c r="P53" s="7">
        <v>7.1332936299999997E-2</v>
      </c>
      <c r="Q53" s="7">
        <v>6.7350478200000008E-2</v>
      </c>
      <c r="R53" s="7">
        <v>6.0729908899999983E-2</v>
      </c>
      <c r="S53" s="7">
        <v>4.0695095099999988E-2</v>
      </c>
      <c r="T53" s="7">
        <v>5.1373648600000002E-2</v>
      </c>
      <c r="U53" s="7">
        <v>4.8029952000000001E-2</v>
      </c>
      <c r="V53" s="7">
        <v>5.1697979000000012E-2</v>
      </c>
      <c r="W53" s="7">
        <v>5.1610975299999987E-2</v>
      </c>
      <c r="X53" s="7">
        <v>4.1593022299999997E-2</v>
      </c>
      <c r="Y53" s="7">
        <v>3.3152716200000001E-2</v>
      </c>
      <c r="Z53" s="7">
        <v>5.0955634100000008E-2</v>
      </c>
      <c r="AA53" s="7">
        <v>4.8918228100000009E-2</v>
      </c>
      <c r="AB53" s="7"/>
      <c r="AC53" s="9">
        <f t="shared" si="4"/>
        <v>4.8918228100000009E-2</v>
      </c>
      <c r="AD53" s="10" t="str">
        <f t="shared" si="5"/>
        <v>2023</v>
      </c>
      <c r="AE53" s="9">
        <f t="shared" si="6"/>
        <v>4.5246115199999999E-2</v>
      </c>
      <c r="AF53" s="9">
        <f t="shared" si="7"/>
        <v>0.10108177189999998</v>
      </c>
    </row>
    <row r="54" spans="1:32" x14ac:dyDescent="0.2">
      <c r="A54" s="6" t="s">
        <v>247</v>
      </c>
      <c r="B54" s="6" t="s">
        <v>248</v>
      </c>
      <c r="C54" s="6"/>
      <c r="D54" s="7">
        <v>8.6406116500000005E-2</v>
      </c>
      <c r="E54" s="7">
        <v>8.7834691999999992E-2</v>
      </c>
      <c r="F54" s="7">
        <v>8.4014129599999987E-2</v>
      </c>
      <c r="G54" s="7">
        <v>8.6660766600000022E-2</v>
      </c>
      <c r="H54" s="7">
        <v>8.5275669099999993E-2</v>
      </c>
      <c r="I54" s="7">
        <v>8.7201290100000009E-2</v>
      </c>
      <c r="J54" s="7">
        <v>8.7401485399999992E-2</v>
      </c>
      <c r="K54" s="7">
        <v>7.0998449300000016E-2</v>
      </c>
      <c r="L54" s="7">
        <v>7.2852678300000001E-2</v>
      </c>
      <c r="M54" s="7">
        <v>7.4169898000000012E-2</v>
      </c>
      <c r="N54" s="7">
        <v>7.4434113499999996E-2</v>
      </c>
      <c r="O54" s="7">
        <v>9.0903921099999993E-2</v>
      </c>
      <c r="P54" s="7">
        <v>9.4937553399999999E-2</v>
      </c>
      <c r="Q54" s="7">
        <v>9.5945720700000015E-2</v>
      </c>
      <c r="R54" s="7">
        <v>9.6197996099999974E-2</v>
      </c>
      <c r="S54" s="7">
        <v>9.7314014400000023E-2</v>
      </c>
      <c r="T54" s="7">
        <v>7.2784900700000016E-2</v>
      </c>
      <c r="U54" s="7">
        <v>6.7698621699999989E-2</v>
      </c>
      <c r="V54" s="7">
        <v>6.1579713800000012E-2</v>
      </c>
      <c r="W54" s="7">
        <v>7.5669174200000008E-2</v>
      </c>
      <c r="X54" s="7">
        <v>5.4089150399999987E-2</v>
      </c>
      <c r="Y54" s="7">
        <v>5.7531628600000023E-2</v>
      </c>
      <c r="Z54" s="7">
        <v>6.20045137E-2</v>
      </c>
      <c r="AA54" s="7">
        <v>5.0313515699999999E-2</v>
      </c>
      <c r="AB54" s="7"/>
      <c r="AC54" s="9">
        <f t="shared" si="4"/>
        <v>5.0313515699999999E-2</v>
      </c>
      <c r="AD54" s="10" t="str">
        <f t="shared" si="5"/>
        <v>2023</v>
      </c>
      <c r="AE54" s="9">
        <f t="shared" si="6"/>
        <v>5.9921596519999995E-2</v>
      </c>
      <c r="AF54" s="9">
        <f t="shared" si="7"/>
        <v>9.9686484299999989E-2</v>
      </c>
    </row>
    <row r="55" spans="1:32" x14ac:dyDescent="0.2">
      <c r="A55" s="6" t="s">
        <v>66</v>
      </c>
      <c r="B55" s="6" t="s">
        <v>67</v>
      </c>
      <c r="C55" s="6"/>
      <c r="D55" s="7">
        <v>0.1213758659</v>
      </c>
      <c r="E55" s="7">
        <v>0.1143885326</v>
      </c>
      <c r="F55" s="7">
        <v>0.10194515229999999</v>
      </c>
      <c r="G55" s="7">
        <v>6.7342433899999998E-2</v>
      </c>
      <c r="H55" s="7">
        <v>6.6214489900000006E-2</v>
      </c>
      <c r="I55" s="7">
        <v>8.9872961000000001E-2</v>
      </c>
      <c r="J55" s="7">
        <v>8.26970291E-2</v>
      </c>
      <c r="K55" s="7">
        <v>0.1032302856</v>
      </c>
      <c r="L55" s="7">
        <v>0.1147650242</v>
      </c>
      <c r="M55" s="7">
        <v>0.1443360138</v>
      </c>
      <c r="N55" s="7">
        <v>0.1567889881</v>
      </c>
      <c r="O55" s="7">
        <v>0.17069700239999999</v>
      </c>
      <c r="P55" s="7">
        <v>0.1396876812</v>
      </c>
      <c r="Q55" s="7">
        <v>0.1503563976</v>
      </c>
      <c r="R55" s="7">
        <v>0.14475960730000001</v>
      </c>
      <c r="S55" s="7">
        <v>0.1419551849</v>
      </c>
      <c r="T55" s="7">
        <v>0.15698118210000001</v>
      </c>
      <c r="U55" s="7">
        <v>0.15108494759999999</v>
      </c>
      <c r="V55" s="7">
        <v>0.15667870519999999</v>
      </c>
      <c r="W55" s="7">
        <v>0.14952267650000001</v>
      </c>
      <c r="X55" s="7">
        <v>0.146783371</v>
      </c>
      <c r="Y55" s="7">
        <v>0.18260875700000001</v>
      </c>
      <c r="Z55" s="7">
        <v>0.152007637</v>
      </c>
      <c r="AA55" s="7">
        <v>0.1541133881</v>
      </c>
      <c r="AB55" s="7"/>
      <c r="AC55" s="9">
        <f t="shared" si="4"/>
        <v>0.1541133881</v>
      </c>
      <c r="AD55" s="10" t="str">
        <f t="shared" si="5"/>
        <v>2023</v>
      </c>
      <c r="AE55" s="9">
        <f t="shared" si="6"/>
        <v>0.15700716592</v>
      </c>
      <c r="AF55" s="9">
        <f t="shared" si="7"/>
        <v>0</v>
      </c>
    </row>
    <row r="56" spans="1:32" x14ac:dyDescent="0.2">
      <c r="A56" s="6" t="s">
        <v>249</v>
      </c>
      <c r="B56" s="6" t="s">
        <v>250</v>
      </c>
      <c r="C56" s="6"/>
      <c r="D56" s="7">
        <v>4.1394309999999997E-2</v>
      </c>
      <c r="E56" s="7">
        <v>6.207802770000001E-2</v>
      </c>
      <c r="F56" s="7">
        <v>6.5468268400000001E-2</v>
      </c>
      <c r="G56" s="7">
        <v>8.2131471599999978E-2</v>
      </c>
      <c r="H56" s="7">
        <v>8.4612302799999983E-2</v>
      </c>
      <c r="I56" s="7">
        <v>7.86558485E-2</v>
      </c>
      <c r="J56" s="7">
        <v>8.5682659099999989E-2</v>
      </c>
      <c r="K56" s="7">
        <v>8.8273954400000021E-2</v>
      </c>
      <c r="L56" s="7">
        <v>6.1516337400000003E-2</v>
      </c>
      <c r="M56" s="7">
        <v>7.4589715000000001E-2</v>
      </c>
      <c r="N56" s="7">
        <v>8.4362811999999995E-2</v>
      </c>
      <c r="O56" s="7">
        <v>7.9652543099999987E-2</v>
      </c>
      <c r="P56" s="7">
        <v>8.1722049699999993E-2</v>
      </c>
      <c r="Q56" s="7">
        <v>8.2616138499999991E-2</v>
      </c>
      <c r="R56" s="7">
        <v>9.0497226699999975E-2</v>
      </c>
      <c r="S56" s="7">
        <v>0.1020452404</v>
      </c>
      <c r="T56" s="7">
        <v>0.1047951508</v>
      </c>
      <c r="U56" s="7">
        <v>0.1145978069</v>
      </c>
      <c r="V56" s="7">
        <v>0.1220515823</v>
      </c>
      <c r="W56" s="7">
        <v>0.1235584259</v>
      </c>
      <c r="X56" s="7">
        <v>0.1313262463</v>
      </c>
      <c r="Y56" s="7">
        <v>0.14189287189999999</v>
      </c>
      <c r="Z56" s="7">
        <v>0.1214216518</v>
      </c>
      <c r="AA56" s="7">
        <v>0.1187373734</v>
      </c>
      <c r="AB56" s="7"/>
      <c r="AC56" s="9">
        <f t="shared" si="4"/>
        <v>0.1187373734</v>
      </c>
      <c r="AD56" s="10" t="str">
        <f t="shared" si="5"/>
        <v>2023</v>
      </c>
      <c r="AE56" s="9">
        <f t="shared" si="6"/>
        <v>0.12738731385999999</v>
      </c>
      <c r="AF56" s="9">
        <f t="shared" si="7"/>
        <v>3.1262626599999996E-2</v>
      </c>
    </row>
    <row r="57" spans="1:32" x14ac:dyDescent="0.2">
      <c r="A57" s="6" t="s">
        <v>68</v>
      </c>
      <c r="B57" s="6" t="s">
        <v>69</v>
      </c>
      <c r="C57" s="6"/>
      <c r="D57" s="7">
        <v>6.6637258500000005E-2</v>
      </c>
      <c r="E57" s="7">
        <v>6.6326627699999988E-2</v>
      </c>
      <c r="F57" s="7">
        <v>6.1411838500000003E-2</v>
      </c>
      <c r="G57" s="7">
        <v>5.4432034499999983E-2</v>
      </c>
      <c r="H57" s="7">
        <v>5.2430896800000008E-2</v>
      </c>
      <c r="I57" s="7">
        <v>5.24353075E-2</v>
      </c>
      <c r="J57" s="7">
        <v>5.049946780000001E-2</v>
      </c>
      <c r="K57" s="7">
        <v>5.0176458399999978E-2</v>
      </c>
      <c r="L57" s="7">
        <v>4.6992468799999992E-2</v>
      </c>
      <c r="M57" s="7">
        <v>4.7180848100000013E-2</v>
      </c>
      <c r="N57" s="7">
        <v>4.361563210000001E-2</v>
      </c>
      <c r="O57" s="7">
        <v>4.82708216E-2</v>
      </c>
      <c r="P57" s="7">
        <v>4.3854093599999998E-2</v>
      </c>
      <c r="Q57" s="7">
        <v>4.1566328999999999E-2</v>
      </c>
      <c r="R57" s="7">
        <v>4.1614847199999999E-2</v>
      </c>
      <c r="S57" s="7">
        <v>5.0579767200000007E-2</v>
      </c>
      <c r="T57" s="8">
        <v>5.0579767200000007E-2</v>
      </c>
      <c r="U57" s="7">
        <v>5.4199476200000013E-2</v>
      </c>
      <c r="V57" s="7">
        <v>4.7215852700000012E-2</v>
      </c>
      <c r="W57" s="7">
        <v>4.8228468899999988E-2</v>
      </c>
      <c r="X57" s="7">
        <v>5.1611223200000007E-2</v>
      </c>
      <c r="Y57" s="7">
        <v>6.7994494399999994E-2</v>
      </c>
      <c r="Z57" s="7">
        <v>6.7607383700000009E-2</v>
      </c>
      <c r="AA57" s="7">
        <v>6.9267306299999998E-2</v>
      </c>
      <c r="AB57" s="7"/>
      <c r="AC57" s="9">
        <f t="shared" si="4"/>
        <v>6.9267306299999998E-2</v>
      </c>
      <c r="AD57" s="10" t="str">
        <f t="shared" si="5"/>
        <v>2023</v>
      </c>
      <c r="AE57" s="9">
        <f t="shared" si="6"/>
        <v>6.0941775300000001E-2</v>
      </c>
      <c r="AF57" s="9">
        <f t="shared" si="7"/>
        <v>8.0732693699999997E-2</v>
      </c>
    </row>
    <row r="58" spans="1:32" x14ac:dyDescent="0.2">
      <c r="A58" s="6" t="s">
        <v>70</v>
      </c>
      <c r="B58" s="6" t="s">
        <v>71</v>
      </c>
      <c r="C58" s="6"/>
      <c r="D58" s="7">
        <v>0.18813766479999999</v>
      </c>
      <c r="E58" s="7">
        <v>0.17688159940000001</v>
      </c>
      <c r="F58" s="7">
        <v>0.17782289509999999</v>
      </c>
      <c r="G58" s="7">
        <v>0.1718667603</v>
      </c>
      <c r="H58" s="7">
        <v>0.186806469</v>
      </c>
      <c r="I58" s="7">
        <v>0.1893865585</v>
      </c>
      <c r="J58" s="7">
        <v>0.1930836487</v>
      </c>
      <c r="K58" s="7">
        <v>0.17984247210000001</v>
      </c>
      <c r="L58" s="7">
        <v>0.16658824920000001</v>
      </c>
      <c r="M58" s="7">
        <v>0.15814736369999999</v>
      </c>
      <c r="N58" s="7">
        <v>0.17085517880000001</v>
      </c>
      <c r="O58" s="7">
        <v>0.18986028669999999</v>
      </c>
      <c r="P58" s="7">
        <v>0.16267700199999999</v>
      </c>
      <c r="Q58" s="7">
        <v>0.1671699905</v>
      </c>
      <c r="R58" s="7">
        <v>0.16978040699999999</v>
      </c>
      <c r="S58" s="7">
        <v>0.1773853302</v>
      </c>
      <c r="T58" s="7">
        <v>0.1765205383</v>
      </c>
      <c r="U58" s="7">
        <v>0.1631419945</v>
      </c>
      <c r="V58" s="7">
        <v>0.1646056175</v>
      </c>
      <c r="W58" s="7">
        <v>0.16971138</v>
      </c>
      <c r="X58" s="7">
        <v>0.17724639889999999</v>
      </c>
      <c r="Y58" s="7">
        <v>0.20650449749999999</v>
      </c>
      <c r="Z58" s="7">
        <v>0.21437885279999999</v>
      </c>
      <c r="AA58" s="7">
        <v>0.18509180069999989</v>
      </c>
      <c r="AB58" s="7"/>
      <c r="AC58" s="9">
        <f t="shared" si="4"/>
        <v>0.18509180069999989</v>
      </c>
      <c r="AD58" s="10" t="str">
        <f t="shared" si="5"/>
        <v>2023</v>
      </c>
      <c r="AE58" s="9">
        <f t="shared" si="6"/>
        <v>0.19058658597999997</v>
      </c>
      <c r="AF58" s="9">
        <f t="shared" si="7"/>
        <v>0</v>
      </c>
    </row>
    <row r="59" spans="1:32" x14ac:dyDescent="0.2">
      <c r="A59" s="6" t="s">
        <v>251</v>
      </c>
      <c r="B59" s="6" t="s">
        <v>252</v>
      </c>
      <c r="C59" s="6"/>
      <c r="D59" s="7">
        <v>2.30962849E-2</v>
      </c>
      <c r="E59" s="7">
        <v>2.9073269400000001E-2</v>
      </c>
      <c r="F59" s="7">
        <v>3.1987669500000003E-2</v>
      </c>
      <c r="G59" s="7">
        <v>2.86154866E-2</v>
      </c>
      <c r="H59" s="7">
        <v>3.2743198899999999E-2</v>
      </c>
      <c r="I59" s="7">
        <v>2.83986473E-2</v>
      </c>
      <c r="J59" s="7">
        <v>2.53066921E-2</v>
      </c>
      <c r="K59" s="7">
        <v>2.4415390499999998E-2</v>
      </c>
      <c r="L59" s="7">
        <v>2.4311900099999999E-2</v>
      </c>
      <c r="M59" s="7">
        <v>1.9303828499999998E-2</v>
      </c>
      <c r="N59" s="7">
        <v>2.0691845399999999E-2</v>
      </c>
      <c r="O59" s="7">
        <v>2.1547396199999999E-2</v>
      </c>
      <c r="P59" s="7">
        <v>1.9963014099999999E-2</v>
      </c>
      <c r="Q59" s="7">
        <v>2.11071348E-2</v>
      </c>
      <c r="R59" s="7">
        <v>2.0607237800000001E-2</v>
      </c>
      <c r="S59" s="7">
        <v>1.7879911700000001E-2</v>
      </c>
      <c r="T59" s="7">
        <v>3.11053944E-2</v>
      </c>
      <c r="U59" s="7">
        <v>3.9362916900000003E-2</v>
      </c>
      <c r="V59" s="7">
        <v>4.2775425899999997E-2</v>
      </c>
      <c r="W59" s="7">
        <v>4.7922282199999999E-2</v>
      </c>
      <c r="X59" s="7">
        <v>6.3953814499999997E-2</v>
      </c>
      <c r="Y59" s="7">
        <v>8.9973764400000017E-2</v>
      </c>
      <c r="Z59" s="7">
        <v>5.8613305099999999E-2</v>
      </c>
      <c r="AA59" s="7">
        <v>5.8653078099999999E-2</v>
      </c>
      <c r="AB59" s="7"/>
      <c r="AC59" s="9">
        <f t="shared" si="4"/>
        <v>5.8653078099999999E-2</v>
      </c>
      <c r="AD59" s="10" t="str">
        <f t="shared" si="5"/>
        <v>2023</v>
      </c>
      <c r="AE59" s="9">
        <f t="shared" si="6"/>
        <v>6.3823248860000001E-2</v>
      </c>
      <c r="AF59" s="9">
        <f t="shared" si="7"/>
        <v>9.1346921899999989E-2</v>
      </c>
    </row>
    <row r="60" spans="1:32" x14ac:dyDescent="0.2">
      <c r="A60" s="6" t="s">
        <v>253</v>
      </c>
      <c r="B60" s="6" t="s">
        <v>254</v>
      </c>
      <c r="C60" s="6"/>
      <c r="D60" s="7">
        <v>2.4220676399999991E-2</v>
      </c>
      <c r="E60" s="7">
        <v>3.01020408E-2</v>
      </c>
      <c r="F60" s="7">
        <v>3.5287103700000003E-2</v>
      </c>
      <c r="G60" s="7">
        <v>2.87028527E-2</v>
      </c>
      <c r="H60" s="7">
        <v>2.7329978899999999E-2</v>
      </c>
      <c r="I60" s="7">
        <v>1.1140075899999999E-2</v>
      </c>
      <c r="J60" s="7">
        <v>1.62111926E-2</v>
      </c>
      <c r="K60" s="7">
        <v>2.37287188E-2</v>
      </c>
      <c r="L60" s="8">
        <v>2.37287188E-2</v>
      </c>
      <c r="M60" s="8">
        <v>2.37287188E-2</v>
      </c>
      <c r="N60" s="8">
        <v>2.37287188E-2</v>
      </c>
      <c r="O60" s="8">
        <v>2.37287188E-2</v>
      </c>
      <c r="P60" s="8">
        <v>2.37287188E-2</v>
      </c>
      <c r="Q60" s="8">
        <v>2.37287188E-2</v>
      </c>
      <c r="R60" s="8">
        <v>2.37287188E-2</v>
      </c>
      <c r="S60" s="8">
        <v>2.37287188E-2</v>
      </c>
      <c r="T60" s="8">
        <v>2.37287188E-2</v>
      </c>
      <c r="U60" s="8">
        <v>2.37287188E-2</v>
      </c>
      <c r="V60" s="8">
        <v>2.37287188E-2</v>
      </c>
      <c r="W60" s="8">
        <v>2.37287188E-2</v>
      </c>
      <c r="X60" s="8">
        <v>2.37287188E-2</v>
      </c>
      <c r="Y60" s="8">
        <v>2.37287188E-2</v>
      </c>
      <c r="Z60" s="8">
        <v>2.37287188E-2</v>
      </c>
      <c r="AA60" s="8">
        <v>2.37287188E-2</v>
      </c>
      <c r="AB60" s="7"/>
      <c r="AC60" s="9">
        <f t="shared" si="4"/>
        <v>2.37287188E-2</v>
      </c>
      <c r="AD60" s="10" t="str">
        <f t="shared" si="5"/>
        <v>2023</v>
      </c>
      <c r="AE60" s="9">
        <f t="shared" si="6"/>
        <v>2.37287188E-2</v>
      </c>
      <c r="AF60" s="9">
        <f t="shared" si="7"/>
        <v>0.1262712812</v>
      </c>
    </row>
    <row r="61" spans="1:32" x14ac:dyDescent="0.2">
      <c r="A61" s="6" t="s">
        <v>255</v>
      </c>
      <c r="B61" s="6" t="s">
        <v>256</v>
      </c>
      <c r="C61" s="6"/>
      <c r="D61" s="7">
        <v>0.107823925</v>
      </c>
      <c r="E61" s="7">
        <v>0.10568320270000001</v>
      </c>
      <c r="F61" s="7">
        <v>9.9725637400000011E-2</v>
      </c>
      <c r="G61" s="7">
        <v>0.11076972960000001</v>
      </c>
      <c r="H61" s="7">
        <v>0.1150922489</v>
      </c>
      <c r="I61" s="7">
        <v>0.11575336460000001</v>
      </c>
      <c r="J61" s="7">
        <v>0.1103644562</v>
      </c>
      <c r="K61" s="7">
        <v>0.1145343685</v>
      </c>
      <c r="L61" s="7">
        <v>0.11394275669999999</v>
      </c>
      <c r="M61" s="7">
        <v>0.11335488320000001</v>
      </c>
      <c r="N61" s="7">
        <v>0.1189297581</v>
      </c>
      <c r="O61" s="7">
        <v>0.1192760563</v>
      </c>
      <c r="P61" s="7">
        <v>0.1151954746</v>
      </c>
      <c r="Q61" s="7">
        <v>0.12045306209999999</v>
      </c>
      <c r="R61" s="7">
        <v>0.1242745209</v>
      </c>
      <c r="S61" s="7">
        <v>0.1236456108</v>
      </c>
      <c r="T61" s="7">
        <v>0.1256473827</v>
      </c>
      <c r="U61" s="7">
        <v>0.12230010030000001</v>
      </c>
      <c r="V61" s="7">
        <v>0.1244092846</v>
      </c>
      <c r="W61" s="7">
        <v>0.12637460710000001</v>
      </c>
      <c r="X61" s="7">
        <v>0.1286363029</v>
      </c>
      <c r="Y61" s="7">
        <v>0.13507272719999999</v>
      </c>
      <c r="Z61" s="7">
        <v>0.1297925663</v>
      </c>
      <c r="AA61" s="7">
        <v>0.12958453180000001</v>
      </c>
      <c r="AB61" s="7"/>
      <c r="AC61" s="9">
        <f t="shared" si="4"/>
        <v>0.12958453180000001</v>
      </c>
      <c r="AD61" s="10" t="str">
        <f t="shared" si="5"/>
        <v>2023</v>
      </c>
      <c r="AE61" s="9">
        <f t="shared" si="6"/>
        <v>0.12989214705999999</v>
      </c>
      <c r="AF61" s="9">
        <f t="shared" si="7"/>
        <v>2.0415468199999981E-2</v>
      </c>
    </row>
    <row r="62" spans="1:32" x14ac:dyDescent="0.2">
      <c r="A62" s="6" t="s">
        <v>72</v>
      </c>
      <c r="B62" s="6" t="s">
        <v>73</v>
      </c>
      <c r="C62" s="6" t="s">
        <v>49</v>
      </c>
      <c r="D62" s="7">
        <v>9.7942724199999998E-2</v>
      </c>
      <c r="E62" s="7">
        <v>9.2848577499999987E-2</v>
      </c>
      <c r="F62" s="7">
        <v>9.1893815999999989E-2</v>
      </c>
      <c r="G62" s="7">
        <v>0.1139668179</v>
      </c>
      <c r="H62" s="7">
        <v>9.7426118900000011E-2</v>
      </c>
      <c r="I62" s="7">
        <v>0.12612316130000001</v>
      </c>
      <c r="J62" s="7">
        <v>0.12620983120000001</v>
      </c>
      <c r="K62" s="7">
        <v>0.12373457910000001</v>
      </c>
      <c r="L62" s="7">
        <v>0.13342635150000001</v>
      </c>
      <c r="M62" s="7">
        <v>0.13331740380000001</v>
      </c>
      <c r="N62" s="7">
        <v>0.1375653362</v>
      </c>
      <c r="O62" s="7">
        <v>0.14277363779999999</v>
      </c>
      <c r="P62" s="7">
        <v>0.1265477371</v>
      </c>
      <c r="Q62" s="7">
        <v>0.1166008472</v>
      </c>
      <c r="R62" s="7">
        <v>8.5009336500000005E-2</v>
      </c>
      <c r="S62" s="7">
        <v>8.5870170599999976E-2</v>
      </c>
      <c r="T62" s="7">
        <v>8.2180528599999997E-2</v>
      </c>
      <c r="U62" s="7">
        <v>9.9716405899999999E-2</v>
      </c>
      <c r="V62" s="7">
        <v>9.6976747500000016E-2</v>
      </c>
      <c r="W62" s="7">
        <v>0.1293035984</v>
      </c>
      <c r="X62" s="7">
        <v>0.10393843649999999</v>
      </c>
      <c r="Y62" s="7">
        <v>0.12300969119999999</v>
      </c>
      <c r="Z62" s="7">
        <v>0.10635377880000001</v>
      </c>
      <c r="AA62" s="8">
        <v>0.10635377880000001</v>
      </c>
      <c r="AB62" s="7"/>
      <c r="AC62" s="9">
        <f t="shared" si="4"/>
        <v>0.10635377880000001</v>
      </c>
      <c r="AD62" s="10" t="str">
        <f t="shared" si="5"/>
        <v>2023</v>
      </c>
      <c r="AE62" s="9">
        <f t="shared" si="6"/>
        <v>0.11379185674</v>
      </c>
      <c r="AF62" s="9">
        <f t="shared" si="7"/>
        <v>4.3646221199999988E-2</v>
      </c>
    </row>
    <row r="63" spans="1:32" x14ac:dyDescent="0.2">
      <c r="A63" s="6" t="s">
        <v>74</v>
      </c>
      <c r="B63" s="6" t="s">
        <v>75</v>
      </c>
      <c r="C63" s="6" t="s">
        <v>49</v>
      </c>
      <c r="D63" s="7">
        <v>7.0295844099999977E-2</v>
      </c>
      <c r="E63" s="7">
        <v>8.9823350899999987E-2</v>
      </c>
      <c r="F63" s="7">
        <v>8.3686761900000017E-2</v>
      </c>
      <c r="G63" s="7">
        <v>8.4177932699999986E-2</v>
      </c>
      <c r="H63" s="7">
        <v>5.7266540499999997E-2</v>
      </c>
      <c r="I63" s="7">
        <v>7.5500240299999979E-2</v>
      </c>
      <c r="J63" s="7">
        <v>5.0760445600000009E-2</v>
      </c>
      <c r="K63" s="7">
        <v>6.4959816899999995E-2</v>
      </c>
      <c r="L63" s="7">
        <v>2.7417819499999999E-2</v>
      </c>
      <c r="M63" s="7">
        <v>5.3001999900000013E-2</v>
      </c>
      <c r="N63" s="7">
        <v>5.10711384E-2</v>
      </c>
      <c r="O63" s="7">
        <v>2.0911443200000001E-2</v>
      </c>
      <c r="P63" s="7">
        <v>6.4068546300000001E-2</v>
      </c>
      <c r="Q63" s="7">
        <v>6.1933026300000013E-2</v>
      </c>
      <c r="R63" s="7">
        <v>4.0883421900000008E-2</v>
      </c>
      <c r="S63" s="7">
        <v>5.5721168499999987E-2</v>
      </c>
      <c r="T63" s="7">
        <v>5.0244526900000003E-2</v>
      </c>
      <c r="U63" s="7">
        <v>4.7883601199999987E-2</v>
      </c>
      <c r="V63" s="7">
        <v>4.7606048599999999E-2</v>
      </c>
      <c r="W63" s="8">
        <v>4.7606048599999999E-2</v>
      </c>
      <c r="X63" s="7">
        <v>6.79223251E-2</v>
      </c>
      <c r="Y63" s="7">
        <v>7.0967450099999982E-2</v>
      </c>
      <c r="Z63" s="7">
        <v>5.6767020199999997E-2</v>
      </c>
      <c r="AA63" s="8">
        <v>5.6767020199999997E-2</v>
      </c>
      <c r="AB63" s="7"/>
      <c r="AC63" s="9">
        <f t="shared" si="4"/>
        <v>5.6767020199999997E-2</v>
      </c>
      <c r="AD63" s="10" t="str">
        <f t="shared" si="5"/>
        <v>2023</v>
      </c>
      <c r="AE63" s="9">
        <f t="shared" si="6"/>
        <v>6.0005972839999991E-2</v>
      </c>
      <c r="AF63" s="9">
        <f t="shared" si="7"/>
        <v>9.3232979800000004E-2</v>
      </c>
    </row>
    <row r="64" spans="1:32" x14ac:dyDescent="0.2">
      <c r="A64" s="6" t="s">
        <v>76</v>
      </c>
      <c r="B64" s="6" t="s">
        <v>77</v>
      </c>
      <c r="C64" s="6"/>
      <c r="D64" s="7">
        <v>0.10588044169999999</v>
      </c>
      <c r="E64" s="7">
        <v>7.9022274000000003E-2</v>
      </c>
      <c r="F64" s="7">
        <v>8.0357570599999997E-2</v>
      </c>
      <c r="G64" s="7">
        <v>8.6106271700000014E-2</v>
      </c>
      <c r="H64" s="7">
        <v>9.254050250000001E-2</v>
      </c>
      <c r="I64" s="7">
        <v>0.10359533310000001</v>
      </c>
      <c r="J64" s="7">
        <v>9.9688577699999975E-2</v>
      </c>
      <c r="K64" s="7">
        <v>0.1059320831</v>
      </c>
      <c r="L64" s="7">
        <v>9.7818183900000022E-2</v>
      </c>
      <c r="M64" s="7">
        <v>8.3703699099999987E-2</v>
      </c>
      <c r="N64" s="7">
        <v>8.7944440800000023E-2</v>
      </c>
      <c r="O64" s="7">
        <v>7.4741101300000015E-2</v>
      </c>
      <c r="P64" s="7">
        <v>7.5050916699999984E-2</v>
      </c>
      <c r="Q64" s="7">
        <v>7.4668259599999981E-2</v>
      </c>
      <c r="R64" s="7">
        <v>7.1042761800000007E-2</v>
      </c>
      <c r="S64" s="7">
        <v>7.0441751499999997E-2</v>
      </c>
      <c r="T64" s="7">
        <v>6.667899129999999E-2</v>
      </c>
      <c r="U64" s="7">
        <v>7.723214149999999E-2</v>
      </c>
      <c r="V64" s="7">
        <v>7.7550287199999998E-2</v>
      </c>
      <c r="W64" s="7">
        <v>8.7279424699999997E-2</v>
      </c>
      <c r="X64" s="7">
        <v>8.681464199999997E-2</v>
      </c>
      <c r="Y64" s="7">
        <v>0.1031014252</v>
      </c>
      <c r="Z64" s="7">
        <v>0.1032937622</v>
      </c>
      <c r="AA64" s="7">
        <v>9.3221130400000018E-2</v>
      </c>
      <c r="AB64" s="7"/>
      <c r="AC64" s="9">
        <f t="shared" si="4"/>
        <v>9.3221130400000018E-2</v>
      </c>
      <c r="AD64" s="10" t="str">
        <f t="shared" si="5"/>
        <v>2023</v>
      </c>
      <c r="AE64" s="9">
        <f t="shared" si="6"/>
        <v>9.47420769E-2</v>
      </c>
      <c r="AF64" s="9">
        <f t="shared" si="7"/>
        <v>5.6778869599999976E-2</v>
      </c>
    </row>
    <row r="65" spans="1:32" x14ac:dyDescent="0.2">
      <c r="A65" s="6" t="s">
        <v>257</v>
      </c>
      <c r="B65" s="6" t="s">
        <v>258</v>
      </c>
      <c r="C65" s="6"/>
      <c r="D65" s="7">
        <v>0.11210175510000001</v>
      </c>
      <c r="E65" s="7">
        <v>0.1169011116</v>
      </c>
      <c r="F65" s="7">
        <v>0.12095652580000001</v>
      </c>
      <c r="G65" s="7">
        <v>0.1244287109</v>
      </c>
      <c r="H65" s="7">
        <v>0.127714138</v>
      </c>
      <c r="I65" s="7">
        <v>0.1315726566</v>
      </c>
      <c r="J65" s="7">
        <v>0.13574973109999999</v>
      </c>
      <c r="K65" s="7">
        <v>0.13648090360000001</v>
      </c>
      <c r="L65" s="7">
        <v>0.13737658500000011</v>
      </c>
      <c r="M65" s="7">
        <v>0.13384902949999999</v>
      </c>
      <c r="N65" s="7">
        <v>0.13292453770000001</v>
      </c>
      <c r="O65" s="7">
        <v>0.1358701611</v>
      </c>
      <c r="P65" s="7">
        <v>0.13779917720000001</v>
      </c>
      <c r="Q65" s="7">
        <v>0.13699011799999999</v>
      </c>
      <c r="R65" s="7">
        <v>0.1357202435</v>
      </c>
      <c r="S65" s="7">
        <v>0.1367094707</v>
      </c>
      <c r="T65" s="7">
        <v>0.13356859209999999</v>
      </c>
      <c r="U65" s="7">
        <v>0.1356778049</v>
      </c>
      <c r="V65" s="7">
        <v>0.1358236599</v>
      </c>
      <c r="W65" s="7">
        <v>0.14061246869999999</v>
      </c>
      <c r="X65" s="7">
        <v>0.13974768639999999</v>
      </c>
      <c r="Y65" s="7">
        <v>0.1462652206</v>
      </c>
      <c r="Z65" s="7">
        <v>0.15125399589999999</v>
      </c>
      <c r="AA65" s="7">
        <v>0.15194069860000001</v>
      </c>
      <c r="AB65" s="7"/>
      <c r="AC65" s="9">
        <f t="shared" si="4"/>
        <v>0.15194069860000001</v>
      </c>
      <c r="AD65" s="10" t="str">
        <f t="shared" si="5"/>
        <v>2023</v>
      </c>
      <c r="AE65" s="9">
        <f t="shared" si="6"/>
        <v>0.14596401404000001</v>
      </c>
      <c r="AF65" s="9">
        <f t="shared" si="7"/>
        <v>0</v>
      </c>
    </row>
    <row r="66" spans="1:32" x14ac:dyDescent="0.2">
      <c r="A66" s="6" t="s">
        <v>259</v>
      </c>
      <c r="B66" s="6" t="s">
        <v>260</v>
      </c>
      <c r="C66" s="6"/>
      <c r="D66" s="7">
        <v>0.1349542141</v>
      </c>
      <c r="E66" s="7">
        <v>0.136540575</v>
      </c>
      <c r="F66" s="7">
        <v>0.1385807896</v>
      </c>
      <c r="G66" s="7">
        <v>0.1374813557</v>
      </c>
      <c r="H66" s="7">
        <v>0.13935871120000001</v>
      </c>
      <c r="I66" s="7">
        <v>0.13905218120000001</v>
      </c>
      <c r="J66" s="7">
        <v>0.1399930096</v>
      </c>
      <c r="K66" s="7">
        <v>0.1395229912</v>
      </c>
      <c r="L66" s="7">
        <v>0.13915396690000001</v>
      </c>
      <c r="M66" s="7">
        <v>0.13959336280000001</v>
      </c>
      <c r="N66" s="7">
        <v>0.1374877739</v>
      </c>
      <c r="O66" s="7">
        <v>0.13818471909999999</v>
      </c>
      <c r="P66" s="7">
        <v>0.13815845490000001</v>
      </c>
      <c r="Q66" s="7">
        <v>0.1398372078</v>
      </c>
      <c r="R66" s="7">
        <v>0.14148188589999999</v>
      </c>
      <c r="S66" s="7">
        <v>0.14516502379999999</v>
      </c>
      <c r="T66" s="7">
        <v>0.15174274439999999</v>
      </c>
      <c r="U66" s="7">
        <v>0.15210645680000001</v>
      </c>
      <c r="V66" s="7">
        <v>0.15222421650000001</v>
      </c>
      <c r="W66" s="7">
        <v>0.15052577019999999</v>
      </c>
      <c r="X66" s="7">
        <v>0.15004672050000001</v>
      </c>
      <c r="Y66" s="7">
        <v>0.1555704594</v>
      </c>
      <c r="Z66" s="7">
        <v>0.15254700660000001</v>
      </c>
      <c r="AA66" s="7">
        <v>0.13696946139999999</v>
      </c>
      <c r="AB66" s="7">
        <v>0.13806446080000001</v>
      </c>
      <c r="AC66" s="9">
        <f t="shared" si="4"/>
        <v>0.13806446080000001</v>
      </c>
      <c r="AD66" s="10" t="str">
        <f t="shared" si="5"/>
        <v>2024</v>
      </c>
      <c r="AE66" s="9">
        <f t="shared" si="6"/>
        <v>0.14728731315000002</v>
      </c>
      <c r="AF66" s="9">
        <f t="shared" si="7"/>
        <v>1.1935539199999984E-2</v>
      </c>
    </row>
    <row r="67" spans="1:32" x14ac:dyDescent="0.2">
      <c r="A67" s="6" t="s">
        <v>261</v>
      </c>
      <c r="B67" s="6" t="s">
        <v>262</v>
      </c>
      <c r="C67" s="6"/>
      <c r="D67" s="7">
        <v>5.2412824599999998E-2</v>
      </c>
      <c r="E67" s="7">
        <v>4.5377697900000007E-2</v>
      </c>
      <c r="F67" s="7">
        <v>4.6636676800000013E-2</v>
      </c>
      <c r="G67" s="7">
        <v>6.7543745000000002E-2</v>
      </c>
      <c r="H67" s="7">
        <v>6.5132160200000011E-2</v>
      </c>
      <c r="I67" s="7">
        <v>5.076802729999999E-2</v>
      </c>
      <c r="J67" s="7">
        <v>5.7600717500000009E-2</v>
      </c>
      <c r="K67" s="7">
        <v>6.3619065299999986E-2</v>
      </c>
      <c r="L67" s="7">
        <v>5.6129050299999997E-2</v>
      </c>
      <c r="M67" s="7">
        <v>6.8176369700000003E-2</v>
      </c>
      <c r="N67" s="7">
        <v>6.8133764299999997E-2</v>
      </c>
      <c r="O67" s="7">
        <v>7.183163640000001E-2</v>
      </c>
      <c r="P67" s="7">
        <v>6.1915850600000003E-2</v>
      </c>
      <c r="Q67" s="7">
        <v>5.257540229999999E-2</v>
      </c>
      <c r="R67" s="7">
        <v>6.3845825200000011E-2</v>
      </c>
      <c r="S67" s="7">
        <v>7.0348739600000001E-2</v>
      </c>
      <c r="T67" s="7">
        <v>9.2025575599999992E-2</v>
      </c>
      <c r="U67" s="7">
        <v>9.7150773999999995E-2</v>
      </c>
      <c r="V67" s="7">
        <v>9.4152069099999985E-2</v>
      </c>
      <c r="W67" s="7">
        <v>9.5915584599999978E-2</v>
      </c>
      <c r="X67" s="8">
        <v>9.5915584599999978E-2</v>
      </c>
      <c r="Y67" s="8">
        <v>9.5915584599999978E-2</v>
      </c>
      <c r="Z67" s="8">
        <v>9.5915584599999978E-2</v>
      </c>
      <c r="AA67" s="8">
        <v>9.5915584599999978E-2</v>
      </c>
      <c r="AB67" s="7"/>
      <c r="AC67" s="9">
        <f t="shared" si="4"/>
        <v>9.5915584599999978E-2</v>
      </c>
      <c r="AD67" s="10" t="str">
        <f t="shared" si="5"/>
        <v>2023</v>
      </c>
      <c r="AE67" s="9">
        <f t="shared" si="6"/>
        <v>9.5915584599999978E-2</v>
      </c>
      <c r="AF67" s="9">
        <f t="shared" si="7"/>
        <v>5.4084415400000016E-2</v>
      </c>
    </row>
    <row r="68" spans="1:32" x14ac:dyDescent="0.2">
      <c r="A68" s="6" t="s">
        <v>78</v>
      </c>
      <c r="B68" s="6" t="s">
        <v>79</v>
      </c>
      <c r="C68" s="6"/>
      <c r="D68" s="7">
        <v>6.3089752200000002E-2</v>
      </c>
      <c r="E68" s="8">
        <v>6.3089752200000002E-2</v>
      </c>
      <c r="F68" s="8">
        <v>6.3089752200000002E-2</v>
      </c>
      <c r="G68" s="8">
        <v>6.3089752200000002E-2</v>
      </c>
      <c r="H68" s="8">
        <v>6.3089752200000002E-2</v>
      </c>
      <c r="I68" s="8">
        <v>6.3089752200000002E-2</v>
      </c>
      <c r="J68" s="8">
        <v>6.3089752200000002E-2</v>
      </c>
      <c r="K68" s="8">
        <v>6.3089752200000002E-2</v>
      </c>
      <c r="L68" s="8">
        <v>6.3089752200000002E-2</v>
      </c>
      <c r="M68" s="8">
        <v>6.3089752200000002E-2</v>
      </c>
      <c r="N68" s="8">
        <v>6.3089752200000002E-2</v>
      </c>
      <c r="O68" s="8">
        <v>6.3089752200000002E-2</v>
      </c>
      <c r="P68" s="8">
        <v>6.3089752200000002E-2</v>
      </c>
      <c r="Q68" s="8">
        <v>6.3089752200000002E-2</v>
      </c>
      <c r="R68" s="7">
        <v>5.7540197400000007E-2</v>
      </c>
      <c r="S68" s="7">
        <v>5.0990447999999987E-2</v>
      </c>
      <c r="T68" s="7">
        <v>6.6577014899999995E-2</v>
      </c>
      <c r="U68" s="7">
        <v>4.4914708100000013E-2</v>
      </c>
      <c r="V68" s="7">
        <v>5.5134363199999988E-2</v>
      </c>
      <c r="W68" s="7">
        <v>5.3790602700000002E-2</v>
      </c>
      <c r="X68" s="7">
        <v>7.6984744099999974E-2</v>
      </c>
      <c r="Y68" s="7">
        <v>5.98440981E-2</v>
      </c>
      <c r="Z68" s="7">
        <v>6.8301234199999977E-2</v>
      </c>
      <c r="AA68" s="7">
        <v>5.4587292700000012E-2</v>
      </c>
      <c r="AB68" s="7"/>
      <c r="AC68" s="9">
        <f t="shared" si="4"/>
        <v>5.4587292700000012E-2</v>
      </c>
      <c r="AD68" s="10" t="str">
        <f t="shared" si="5"/>
        <v>2023</v>
      </c>
      <c r="AE68" s="9">
        <f t="shared" si="6"/>
        <v>6.2701594359999988E-2</v>
      </c>
      <c r="AF68" s="9">
        <f t="shared" si="7"/>
        <v>9.5412707299999983E-2</v>
      </c>
    </row>
    <row r="69" spans="1:32" x14ac:dyDescent="0.2">
      <c r="A69" s="6" t="s">
        <v>263</v>
      </c>
      <c r="B69" s="6" t="s">
        <v>264</v>
      </c>
      <c r="C69" s="6"/>
      <c r="D69" s="7">
        <v>4.8525214200000007E-2</v>
      </c>
      <c r="E69" s="7">
        <v>6.7504334400000005E-2</v>
      </c>
      <c r="F69" s="7">
        <v>7.0204081500000001E-2</v>
      </c>
      <c r="G69" s="7">
        <v>7.1327681500000018E-2</v>
      </c>
      <c r="H69" s="7">
        <v>6.25E-2</v>
      </c>
      <c r="I69" s="7">
        <v>5.5770721399999987E-2</v>
      </c>
      <c r="J69" s="7">
        <v>5.2303862600000001E-2</v>
      </c>
      <c r="K69" s="7">
        <v>3.9536328299999993E-2</v>
      </c>
      <c r="L69" s="7">
        <v>4.8306851399999989E-2</v>
      </c>
      <c r="M69" s="7">
        <v>5.8841795900000007E-2</v>
      </c>
      <c r="N69" s="7">
        <v>6.1533975599999999E-2</v>
      </c>
      <c r="O69" s="7">
        <v>5.04166079E-2</v>
      </c>
      <c r="P69" s="7">
        <v>5.5060100600000023E-2</v>
      </c>
      <c r="Q69" s="7">
        <v>6.8516130400000014E-2</v>
      </c>
      <c r="R69" s="7">
        <v>7.7795600900000011E-2</v>
      </c>
      <c r="S69" s="7">
        <v>9.6085786800000003E-2</v>
      </c>
      <c r="T69" s="7">
        <v>0.1032651424</v>
      </c>
      <c r="U69" s="7">
        <v>9.5190258E-2</v>
      </c>
      <c r="V69" s="7">
        <v>0.1032494736</v>
      </c>
      <c r="W69" s="7">
        <v>9.3872232400000005E-2</v>
      </c>
      <c r="X69" s="7">
        <v>0.10733172420000001</v>
      </c>
      <c r="Y69" s="7">
        <v>0.1422989559</v>
      </c>
      <c r="Z69" s="7">
        <v>0.1073519516</v>
      </c>
      <c r="AA69" s="7">
        <v>7.7799105599999988E-2</v>
      </c>
      <c r="AB69" s="7"/>
      <c r="AC69" s="9">
        <f t="shared" ref="AC69:AC100" si="8">LOOKUP(9.99E+307,D69:AB69)</f>
        <v>7.7799105599999988E-2</v>
      </c>
      <c r="AD69" s="10" t="str">
        <f t="shared" ref="AD69:AD100" si="9">LOOKUP(9.99E+307,D69:AB69,D$4:AB$4)</f>
        <v>2023</v>
      </c>
      <c r="AE69" s="9">
        <f t="shared" ref="AE69:AE100" si="10">IFERROR(AVERAGE(W69:AB69),"")</f>
        <v>0.10573079394</v>
      </c>
      <c r="AF69" s="9">
        <f t="shared" ref="AF69:AF100" si="11">MAX(0,$B$2-AC69)</f>
        <v>7.2200894400000007E-2</v>
      </c>
    </row>
    <row r="70" spans="1:32" x14ac:dyDescent="0.2">
      <c r="A70" s="6" t="s">
        <v>265</v>
      </c>
      <c r="B70" s="6" t="s">
        <v>266</v>
      </c>
      <c r="C70" s="6"/>
      <c r="D70" s="7">
        <v>0.15938912390000001</v>
      </c>
      <c r="E70" s="7">
        <v>0.16107563019999999</v>
      </c>
      <c r="F70" s="7">
        <v>0.16244157789999999</v>
      </c>
      <c r="G70" s="7">
        <v>0.16385137559999999</v>
      </c>
      <c r="H70" s="7">
        <v>0.16179857249999999</v>
      </c>
      <c r="I70" s="7">
        <v>0.16387260440000001</v>
      </c>
      <c r="J70" s="7">
        <v>0.1662315369</v>
      </c>
      <c r="K70" s="7">
        <v>0.1706708717</v>
      </c>
      <c r="L70" s="7">
        <v>0.17089405060000001</v>
      </c>
      <c r="M70" s="7">
        <v>0.17266410830000001</v>
      </c>
      <c r="N70" s="7">
        <v>0.17120506290000001</v>
      </c>
      <c r="O70" s="7">
        <v>0.1761068344</v>
      </c>
      <c r="P70" s="7">
        <v>0.1781566429</v>
      </c>
      <c r="Q70" s="7">
        <v>0.1826494598</v>
      </c>
      <c r="R70" s="7">
        <v>0.18727848050000001</v>
      </c>
      <c r="S70" s="7">
        <v>0.1899507332</v>
      </c>
      <c r="T70" s="7">
        <v>0.19077758789999999</v>
      </c>
      <c r="U70" s="7">
        <v>0.19377294540000001</v>
      </c>
      <c r="V70" s="7">
        <v>0.19491720200000001</v>
      </c>
      <c r="W70" s="7">
        <v>0.1952608109</v>
      </c>
      <c r="X70" s="7">
        <v>0.1931024361</v>
      </c>
      <c r="Y70" s="7">
        <v>0.1996162605</v>
      </c>
      <c r="Z70" s="7">
        <v>0.2044145393</v>
      </c>
      <c r="AA70" s="7">
        <v>0.19205816270000001</v>
      </c>
      <c r="AB70" s="7"/>
      <c r="AC70" s="9">
        <f t="shared" si="8"/>
        <v>0.19205816270000001</v>
      </c>
      <c r="AD70" s="10" t="str">
        <f t="shared" si="9"/>
        <v>2023</v>
      </c>
      <c r="AE70" s="9">
        <f t="shared" si="10"/>
        <v>0.19689044189999999</v>
      </c>
      <c r="AF70" s="9">
        <f t="shared" si="11"/>
        <v>0</v>
      </c>
    </row>
    <row r="71" spans="1:32" x14ac:dyDescent="0.2">
      <c r="A71" s="6" t="s">
        <v>80</v>
      </c>
      <c r="B71" s="6" t="s">
        <v>81</v>
      </c>
      <c r="C71" s="6"/>
      <c r="D71" s="7">
        <v>6.1019425399999987E-2</v>
      </c>
      <c r="E71" s="8">
        <v>6.1019425399999987E-2</v>
      </c>
      <c r="F71" s="8">
        <v>6.1019425399999987E-2</v>
      </c>
      <c r="G71" s="7">
        <v>7.7802805899999994E-2</v>
      </c>
      <c r="H71" s="7">
        <v>6.9171962700000006E-2</v>
      </c>
      <c r="I71" s="7">
        <v>0.1363450813</v>
      </c>
      <c r="J71" s="7">
        <v>0.1149724102</v>
      </c>
      <c r="K71" s="7">
        <v>9.7394895599999989E-2</v>
      </c>
      <c r="L71" s="7">
        <v>9.8777551700000008E-2</v>
      </c>
      <c r="M71" s="7">
        <v>0.1235655785</v>
      </c>
      <c r="N71" s="7">
        <v>0.1191557407</v>
      </c>
      <c r="O71" s="7">
        <v>0.12074167249999999</v>
      </c>
      <c r="P71" s="7">
        <v>8.9727477999999999E-2</v>
      </c>
      <c r="Q71" s="7">
        <v>8.6166973099999988E-2</v>
      </c>
      <c r="R71" s="7">
        <v>6.7195372599999997E-2</v>
      </c>
      <c r="S71" s="7">
        <v>8.5578575099999984E-2</v>
      </c>
      <c r="T71" s="7">
        <v>6.5376787200000008E-2</v>
      </c>
      <c r="U71" s="7">
        <v>9.2740030299999998E-2</v>
      </c>
      <c r="V71" s="7">
        <v>6.5605044399999979E-2</v>
      </c>
      <c r="W71" s="7">
        <v>8.7683658599999992E-2</v>
      </c>
      <c r="X71" s="7">
        <v>8.0232305499999976E-2</v>
      </c>
      <c r="Y71" s="7">
        <v>7.7142071699999995E-2</v>
      </c>
      <c r="Z71" s="7">
        <v>7.4095878599999998E-2</v>
      </c>
      <c r="AA71" s="7">
        <v>0.1005148506</v>
      </c>
      <c r="AB71" s="7"/>
      <c r="AC71" s="9">
        <f t="shared" si="8"/>
        <v>0.1005148506</v>
      </c>
      <c r="AD71" s="10" t="str">
        <f t="shared" si="9"/>
        <v>2023</v>
      </c>
      <c r="AE71" s="9">
        <f t="shared" si="10"/>
        <v>8.3933752999999986E-2</v>
      </c>
      <c r="AF71" s="9">
        <f t="shared" si="11"/>
        <v>4.9485149399999998E-2</v>
      </c>
    </row>
    <row r="72" spans="1:32" x14ac:dyDescent="0.2">
      <c r="A72" s="6" t="s">
        <v>267</v>
      </c>
      <c r="B72" s="6" t="s">
        <v>268</v>
      </c>
      <c r="C72" s="6"/>
      <c r="D72" s="7">
        <v>9.6134195299999975E-2</v>
      </c>
      <c r="E72" s="7">
        <v>0.1097902489</v>
      </c>
      <c r="F72" s="7">
        <v>0.1086962318</v>
      </c>
      <c r="G72" s="7">
        <v>0.10855977059999999</v>
      </c>
      <c r="H72" s="7">
        <v>9.9656324400000024E-2</v>
      </c>
      <c r="I72" s="7">
        <v>0.1143558979</v>
      </c>
      <c r="J72" s="7">
        <v>0.1127762222</v>
      </c>
      <c r="K72" s="7">
        <v>0.1130030632</v>
      </c>
      <c r="L72" s="7">
        <v>0.11343373299999999</v>
      </c>
      <c r="M72" s="7">
        <v>0.11883022309999999</v>
      </c>
      <c r="N72" s="7">
        <v>0.12486730579999999</v>
      </c>
      <c r="O72" s="7">
        <v>0.10958380700000001</v>
      </c>
      <c r="P72" s="7">
        <v>9.9293327300000012E-2</v>
      </c>
      <c r="Q72" s="7">
        <v>8.1927518799999988E-2</v>
      </c>
      <c r="R72" s="7">
        <v>8.7723588899999996E-2</v>
      </c>
      <c r="S72" s="7">
        <v>8.7053813899999999E-2</v>
      </c>
      <c r="T72" s="7">
        <v>8.8089218099999977E-2</v>
      </c>
      <c r="U72" s="7">
        <v>8.8421993300000001E-2</v>
      </c>
      <c r="V72" s="7">
        <v>8.5910072299999987E-2</v>
      </c>
      <c r="W72" s="7">
        <v>8.3047122999999987E-2</v>
      </c>
      <c r="X72" s="7">
        <v>8.5408401499999995E-2</v>
      </c>
      <c r="Y72" s="7">
        <v>9.4931602500000004E-2</v>
      </c>
      <c r="Z72" s="7">
        <v>8.6528806700000002E-2</v>
      </c>
      <c r="AA72" s="7">
        <v>8.5835247000000017E-2</v>
      </c>
      <c r="AB72" s="7"/>
      <c r="AC72" s="9">
        <f t="shared" si="8"/>
        <v>8.5835247000000017E-2</v>
      </c>
      <c r="AD72" s="10" t="str">
        <f t="shared" si="9"/>
        <v>2023</v>
      </c>
      <c r="AE72" s="9">
        <f t="shared" si="10"/>
        <v>8.7150236140000004E-2</v>
      </c>
      <c r="AF72" s="9">
        <f t="shared" si="11"/>
        <v>6.4164752999999977E-2</v>
      </c>
    </row>
    <row r="73" spans="1:32" x14ac:dyDescent="0.2">
      <c r="A73" s="6" t="s">
        <v>269</v>
      </c>
      <c r="B73" s="6" t="s">
        <v>270</v>
      </c>
      <c r="C73" s="6"/>
      <c r="D73" s="7">
        <v>7.2555532500000006E-2</v>
      </c>
      <c r="E73" s="7">
        <v>7.2769999500000015E-2</v>
      </c>
      <c r="F73" s="7">
        <v>7.5790844000000024E-2</v>
      </c>
      <c r="G73" s="7">
        <v>7.5316281299999996E-2</v>
      </c>
      <c r="H73" s="7">
        <v>0.1049572659</v>
      </c>
      <c r="I73" s="7">
        <v>9.1110782600000009E-2</v>
      </c>
      <c r="J73" s="7">
        <v>6.3096952399999975E-2</v>
      </c>
      <c r="K73" s="7">
        <v>7.2554202099999993E-2</v>
      </c>
      <c r="L73" s="7">
        <v>7.0374536500000001E-2</v>
      </c>
      <c r="M73" s="7">
        <v>7.982572559999998E-2</v>
      </c>
      <c r="N73" s="7">
        <v>7.3575010299999993E-2</v>
      </c>
      <c r="O73" s="7">
        <v>8.5355777699999996E-2</v>
      </c>
      <c r="P73" s="7">
        <v>9.1091918899999999E-2</v>
      </c>
      <c r="Q73" s="7">
        <v>8.0983715099999992E-2</v>
      </c>
      <c r="R73" s="7">
        <v>7.2963576299999999E-2</v>
      </c>
      <c r="S73" s="7">
        <v>7.6600747099999991E-2</v>
      </c>
      <c r="T73" s="7">
        <v>7.5082063700000007E-2</v>
      </c>
      <c r="U73" s="7">
        <v>8.3515596400000017E-2</v>
      </c>
      <c r="V73" s="7">
        <v>8.3340673399999995E-2</v>
      </c>
      <c r="W73" s="7">
        <v>9.4322023399999996E-2</v>
      </c>
      <c r="X73" s="7">
        <v>6.9983286900000011E-2</v>
      </c>
      <c r="Y73" s="7">
        <v>6.9414787300000003E-2</v>
      </c>
      <c r="Z73" s="7">
        <v>6.2845306400000009E-2</v>
      </c>
      <c r="AA73" s="7">
        <v>7.2720375099999984E-2</v>
      </c>
      <c r="AB73" s="7"/>
      <c r="AC73" s="9">
        <f t="shared" si="8"/>
        <v>7.2720375099999984E-2</v>
      </c>
      <c r="AD73" s="10" t="str">
        <f t="shared" si="9"/>
        <v>2023</v>
      </c>
      <c r="AE73" s="9">
        <f t="shared" si="10"/>
        <v>7.3857155820000006E-2</v>
      </c>
      <c r="AF73" s="9">
        <f t="shared" si="11"/>
        <v>7.727962490000001E-2</v>
      </c>
    </row>
    <row r="74" spans="1:32" x14ac:dyDescent="0.2">
      <c r="A74" s="6" t="s">
        <v>82</v>
      </c>
      <c r="B74" s="6" t="s">
        <v>83</v>
      </c>
      <c r="C74" s="6"/>
      <c r="D74" s="7">
        <v>0.140827589</v>
      </c>
      <c r="E74" s="7">
        <v>0.14400400159999999</v>
      </c>
      <c r="F74" s="7">
        <v>0.14791300769999999</v>
      </c>
      <c r="G74" s="7">
        <v>0.14208873750000001</v>
      </c>
      <c r="H74" s="7">
        <v>0.15732374190000001</v>
      </c>
      <c r="I74" s="7">
        <v>0.1420312977</v>
      </c>
      <c r="J74" s="7">
        <v>0.145871048</v>
      </c>
      <c r="K74" s="7">
        <v>0.14230330469999991</v>
      </c>
      <c r="L74" s="7">
        <v>0.15491264339999999</v>
      </c>
      <c r="M74" s="7">
        <v>0.1602617264</v>
      </c>
      <c r="N74" s="7">
        <v>0.14248166079999999</v>
      </c>
      <c r="O74" s="7">
        <v>0.13759574890000001</v>
      </c>
      <c r="P74" s="7">
        <v>0.1431886292</v>
      </c>
      <c r="Q74" s="7">
        <v>0.15827068329999999</v>
      </c>
      <c r="R74" s="7">
        <v>0.16460300450000001</v>
      </c>
      <c r="S74" s="7">
        <v>0.1810749817</v>
      </c>
      <c r="T74" s="7">
        <v>0.1820531464</v>
      </c>
      <c r="U74" s="7">
        <v>0.1721218491</v>
      </c>
      <c r="V74" s="7">
        <v>0.1667445374</v>
      </c>
      <c r="W74" s="7">
        <v>0.17651401520000001</v>
      </c>
      <c r="X74" s="7">
        <v>0.1586299229</v>
      </c>
      <c r="Y74" s="7">
        <v>0.19772802349999999</v>
      </c>
      <c r="Z74" s="7">
        <v>0.173305397</v>
      </c>
      <c r="AA74" s="7">
        <v>0.17754360199999999</v>
      </c>
      <c r="AB74" s="7"/>
      <c r="AC74" s="9">
        <f t="shared" si="8"/>
        <v>0.17754360199999999</v>
      </c>
      <c r="AD74" s="10" t="str">
        <f t="shared" si="9"/>
        <v>2023</v>
      </c>
      <c r="AE74" s="9">
        <f t="shared" si="10"/>
        <v>0.17674419211999998</v>
      </c>
      <c r="AF74" s="9">
        <f t="shared" si="11"/>
        <v>0</v>
      </c>
    </row>
    <row r="75" spans="1:32" x14ac:dyDescent="0.2">
      <c r="A75" s="6" t="s">
        <v>84</v>
      </c>
      <c r="B75" s="6" t="s">
        <v>85</v>
      </c>
      <c r="C75" s="6"/>
      <c r="D75" s="7">
        <v>2.3868253200000002E-2</v>
      </c>
      <c r="E75" s="7">
        <v>2.4863112E-2</v>
      </c>
      <c r="F75" s="7">
        <v>4.4430332200000013E-2</v>
      </c>
      <c r="G75" s="7">
        <v>2.8638539300000002E-2</v>
      </c>
      <c r="H75" s="7">
        <v>1.8615269699999999E-2</v>
      </c>
      <c r="I75" s="7">
        <v>2.3775997199999999E-2</v>
      </c>
      <c r="J75" s="7">
        <v>1.8866088400000001E-2</v>
      </c>
      <c r="K75" s="7">
        <v>2.7802450699999998E-2</v>
      </c>
      <c r="L75" s="7">
        <v>2.67598891E-2</v>
      </c>
      <c r="M75" s="7">
        <v>1.6039820900000001E-2</v>
      </c>
      <c r="N75" s="7">
        <v>1.7697701499999999E-2</v>
      </c>
      <c r="O75" s="7">
        <v>3.1844747100000001E-2</v>
      </c>
      <c r="P75" s="7">
        <v>2.6300339700000001E-2</v>
      </c>
      <c r="Q75" s="7">
        <v>2.6236228899999992E-2</v>
      </c>
      <c r="R75" s="7">
        <v>3.0479202300000001E-2</v>
      </c>
      <c r="S75" s="7">
        <v>1.9800685599999999E-2</v>
      </c>
      <c r="T75" s="7">
        <v>4.1296558400000002E-2</v>
      </c>
      <c r="U75" s="7">
        <v>3.4782426399999997E-2</v>
      </c>
      <c r="V75" s="7">
        <v>3.8791775700000003E-2</v>
      </c>
      <c r="W75" s="7">
        <v>6.1876754800000003E-2</v>
      </c>
      <c r="X75" s="7">
        <v>4.5516514799999977E-2</v>
      </c>
      <c r="Y75" s="7">
        <v>4.5103349700000003E-2</v>
      </c>
      <c r="Z75" s="7">
        <v>5.1174025499999998E-2</v>
      </c>
      <c r="AA75" s="8">
        <v>5.1174025499999998E-2</v>
      </c>
      <c r="AB75" s="7"/>
      <c r="AC75" s="9">
        <f t="shared" si="8"/>
        <v>5.1174025499999998E-2</v>
      </c>
      <c r="AD75" s="10" t="str">
        <f t="shared" si="9"/>
        <v>2023</v>
      </c>
      <c r="AE75" s="9">
        <f t="shared" si="10"/>
        <v>5.0968934059999992E-2</v>
      </c>
      <c r="AF75" s="9">
        <f t="shared" si="11"/>
        <v>9.8825974499999997E-2</v>
      </c>
    </row>
    <row r="76" spans="1:32" x14ac:dyDescent="0.2">
      <c r="A76" s="6" t="s">
        <v>271</v>
      </c>
      <c r="B76" s="6" t="s">
        <v>272</v>
      </c>
      <c r="C76" s="6"/>
      <c r="D76" s="7">
        <v>2.5235052099999999E-2</v>
      </c>
      <c r="E76" s="8">
        <v>2.5235052099999999E-2</v>
      </c>
      <c r="F76" s="8">
        <v>2.5235052099999999E-2</v>
      </c>
      <c r="G76" s="8">
        <v>2.5235052099999999E-2</v>
      </c>
      <c r="H76" s="8">
        <v>2.5235052099999999E-2</v>
      </c>
      <c r="I76" s="8">
        <v>2.5235052099999999E-2</v>
      </c>
      <c r="J76" s="8">
        <v>2.5235052099999999E-2</v>
      </c>
      <c r="K76" s="8">
        <v>2.5235052099999999E-2</v>
      </c>
      <c r="L76" s="8">
        <v>2.5235052099999999E-2</v>
      </c>
      <c r="M76" s="8">
        <v>2.5235052099999999E-2</v>
      </c>
      <c r="N76" s="8">
        <v>2.5235052099999999E-2</v>
      </c>
      <c r="O76" s="8">
        <v>2.5235052099999999E-2</v>
      </c>
      <c r="P76" s="7">
        <v>3.8881714300000002E-2</v>
      </c>
      <c r="Q76" s="7">
        <v>4.4427766799999997E-2</v>
      </c>
      <c r="R76" s="7">
        <v>2.5981063799999999E-2</v>
      </c>
      <c r="S76" s="7">
        <v>2.5010154199999999E-2</v>
      </c>
      <c r="T76" s="7">
        <v>2.3623125599999999E-2</v>
      </c>
      <c r="U76" s="7">
        <v>2.75228286E-2</v>
      </c>
      <c r="V76" s="7">
        <v>2.594297889999999E-2</v>
      </c>
      <c r="W76" s="7">
        <v>2.4407405900000002E-2</v>
      </c>
      <c r="X76" s="7">
        <v>4.7953672400000001E-2</v>
      </c>
      <c r="Y76" s="7">
        <v>4.5536913900000003E-2</v>
      </c>
      <c r="Z76" s="7">
        <v>4.8797120999999999E-2</v>
      </c>
      <c r="AA76" s="7">
        <v>4.2864313100000009E-2</v>
      </c>
      <c r="AB76" s="7"/>
      <c r="AC76" s="9">
        <f t="shared" si="8"/>
        <v>4.2864313100000009E-2</v>
      </c>
      <c r="AD76" s="10" t="str">
        <f t="shared" si="9"/>
        <v>2023</v>
      </c>
      <c r="AE76" s="9">
        <f t="shared" si="10"/>
        <v>4.1911885260000004E-2</v>
      </c>
      <c r="AF76" s="9">
        <f t="shared" si="11"/>
        <v>0.10713568689999999</v>
      </c>
    </row>
    <row r="77" spans="1:32" x14ac:dyDescent="0.2">
      <c r="A77" s="6" t="s">
        <v>86</v>
      </c>
      <c r="B77" s="6" t="s">
        <v>87</v>
      </c>
      <c r="C77" s="6"/>
      <c r="D77" s="7">
        <v>7.8165044800000014E-2</v>
      </c>
      <c r="E77" s="7">
        <v>6.7953934700000024E-2</v>
      </c>
      <c r="F77" s="7">
        <v>7.5090136500000002E-2</v>
      </c>
      <c r="G77" s="7">
        <v>7.3576483700000014E-2</v>
      </c>
      <c r="H77" s="7">
        <v>7.3529548599999994E-2</v>
      </c>
      <c r="I77" s="7">
        <v>6.2754049300000003E-2</v>
      </c>
      <c r="J77" s="7">
        <v>5.69657898E-2</v>
      </c>
      <c r="K77" s="7">
        <v>6.6087760899999987E-2</v>
      </c>
      <c r="L77" s="7">
        <v>7.0215044000000004E-2</v>
      </c>
      <c r="M77" s="7">
        <v>7.4141931500000008E-2</v>
      </c>
      <c r="N77" s="7">
        <v>7.6051526099999989E-2</v>
      </c>
      <c r="O77" s="7">
        <v>8.6206064200000002E-2</v>
      </c>
      <c r="P77" s="7">
        <v>8.2260751699999995E-2</v>
      </c>
      <c r="Q77" s="7">
        <v>8.8188905699999987E-2</v>
      </c>
      <c r="R77" s="7">
        <v>9.4168500900000007E-2</v>
      </c>
      <c r="S77" s="7">
        <v>0.10840704919999999</v>
      </c>
      <c r="T77" s="7">
        <v>0.10054207799999999</v>
      </c>
      <c r="U77" s="7">
        <v>0.1061353874</v>
      </c>
      <c r="V77" s="7">
        <v>0.1071157551</v>
      </c>
      <c r="W77" s="7">
        <v>0.1032425022</v>
      </c>
      <c r="X77" s="7">
        <v>0.13011634829999999</v>
      </c>
      <c r="Y77" s="7">
        <v>0.12894852640000001</v>
      </c>
      <c r="Z77" s="7">
        <v>8.5649328199999986E-2</v>
      </c>
      <c r="AA77" s="7">
        <v>7.3120975500000018E-2</v>
      </c>
      <c r="AB77" s="7"/>
      <c r="AC77" s="9">
        <f t="shared" si="8"/>
        <v>7.3120975500000018E-2</v>
      </c>
      <c r="AD77" s="10" t="str">
        <f t="shared" si="9"/>
        <v>2023</v>
      </c>
      <c r="AE77" s="9">
        <f t="shared" si="10"/>
        <v>0.10421553612000001</v>
      </c>
      <c r="AF77" s="9">
        <f t="shared" si="11"/>
        <v>7.6879024499999976E-2</v>
      </c>
    </row>
    <row r="78" spans="1:32" x14ac:dyDescent="0.2">
      <c r="A78" s="6" t="s">
        <v>88</v>
      </c>
      <c r="B78" s="6" t="s">
        <v>89</v>
      </c>
      <c r="C78" s="6"/>
      <c r="D78" s="7">
        <v>0.1394368362</v>
      </c>
      <c r="E78" s="7">
        <v>0.1190920353</v>
      </c>
      <c r="F78" s="7">
        <v>7.3620429000000001E-2</v>
      </c>
      <c r="G78" s="7">
        <v>6.6061697000000003E-2</v>
      </c>
      <c r="H78" s="7">
        <v>7.9492502200000009E-2</v>
      </c>
      <c r="I78" s="7">
        <v>6.6687545799999984E-2</v>
      </c>
      <c r="J78" s="7">
        <v>2.994277E-2</v>
      </c>
      <c r="K78" s="7">
        <v>7.1135840400000025E-2</v>
      </c>
      <c r="L78" s="7">
        <v>7.4259653099999989E-2</v>
      </c>
      <c r="M78" s="7">
        <v>6.7716474499999985E-2</v>
      </c>
      <c r="N78" s="7">
        <v>6.4308342899999996E-2</v>
      </c>
      <c r="O78" s="7">
        <v>2.98426127E-2</v>
      </c>
      <c r="P78" s="7">
        <v>2.7839145700000002E-2</v>
      </c>
      <c r="Q78" s="7">
        <v>2.9984676800000009E-2</v>
      </c>
      <c r="R78" s="7">
        <v>3.2014870600000009E-2</v>
      </c>
      <c r="S78" s="7">
        <v>4.4000372900000001E-2</v>
      </c>
      <c r="T78" s="7">
        <v>5.0224213599999998E-2</v>
      </c>
      <c r="U78" s="7">
        <v>4.5437197700000008E-2</v>
      </c>
      <c r="V78" s="7">
        <v>4.6750168799999992E-2</v>
      </c>
      <c r="W78" s="7">
        <v>4.24965858E-2</v>
      </c>
      <c r="X78" s="7">
        <v>4.8419084500000008E-2</v>
      </c>
      <c r="Y78" s="7">
        <v>4.3947257999999989E-2</v>
      </c>
      <c r="Z78" s="7">
        <v>4.1084308600000001E-2</v>
      </c>
      <c r="AA78" s="7">
        <v>4.5637707700000002E-2</v>
      </c>
      <c r="AB78" s="7"/>
      <c r="AC78" s="9">
        <f t="shared" si="8"/>
        <v>4.5637707700000002E-2</v>
      </c>
      <c r="AD78" s="10" t="str">
        <f t="shared" si="9"/>
        <v>2023</v>
      </c>
      <c r="AE78" s="9">
        <f t="shared" si="10"/>
        <v>4.4316988920000001E-2</v>
      </c>
      <c r="AF78" s="9">
        <f t="shared" si="11"/>
        <v>0.10436229229999999</v>
      </c>
    </row>
    <row r="79" spans="1:32" x14ac:dyDescent="0.2">
      <c r="A79" s="6" t="s">
        <v>90</v>
      </c>
      <c r="B79" s="6" t="s">
        <v>91</v>
      </c>
      <c r="C79" s="6"/>
      <c r="D79" s="7">
        <v>0.1367898464</v>
      </c>
      <c r="E79" s="7">
        <v>9.9386835099999987E-2</v>
      </c>
      <c r="F79" s="7">
        <v>9.4749918000000016E-2</v>
      </c>
      <c r="G79" s="7">
        <v>9.8826894800000009E-2</v>
      </c>
      <c r="H79" s="7">
        <v>9.5964126600000005E-2</v>
      </c>
      <c r="I79" s="7">
        <v>0.1236688042</v>
      </c>
      <c r="J79" s="7">
        <v>0.13421832080000001</v>
      </c>
      <c r="K79" s="7">
        <v>0.13636523249999999</v>
      </c>
      <c r="L79" s="7">
        <v>0.1256671429</v>
      </c>
      <c r="M79" s="7">
        <v>0.139932375</v>
      </c>
      <c r="N79" s="7">
        <v>0.13966723440000001</v>
      </c>
      <c r="O79" s="7">
        <v>0.15026724820000001</v>
      </c>
      <c r="P79" s="7">
        <v>0.1283597755</v>
      </c>
      <c r="Q79" s="7">
        <v>0.1181287098</v>
      </c>
      <c r="R79" s="7">
        <v>0.1155319595</v>
      </c>
      <c r="S79" s="7">
        <v>0.11328797340000001</v>
      </c>
      <c r="T79" s="7">
        <v>0.1129591942</v>
      </c>
      <c r="U79" s="7">
        <v>0.1062630653</v>
      </c>
      <c r="V79" s="7">
        <v>0.10892012600000001</v>
      </c>
      <c r="W79" s="7">
        <v>0.111674366</v>
      </c>
      <c r="X79" s="7">
        <v>0.1234406281</v>
      </c>
      <c r="Y79" s="7">
        <v>0.1209214497</v>
      </c>
      <c r="Z79" s="7">
        <v>0.1331573868</v>
      </c>
      <c r="AA79" s="7">
        <v>9.4285869599999989E-2</v>
      </c>
      <c r="AB79" s="7"/>
      <c r="AC79" s="9">
        <f t="shared" si="8"/>
        <v>9.4285869599999989E-2</v>
      </c>
      <c r="AD79" s="10" t="str">
        <f t="shared" si="9"/>
        <v>2023</v>
      </c>
      <c r="AE79" s="9">
        <f t="shared" si="10"/>
        <v>0.11669594003999999</v>
      </c>
      <c r="AF79" s="9">
        <f t="shared" si="11"/>
        <v>5.5714130400000006E-2</v>
      </c>
    </row>
    <row r="80" spans="1:32" x14ac:dyDescent="0.2">
      <c r="A80" s="6" t="s">
        <v>273</v>
      </c>
      <c r="B80" s="6" t="s">
        <v>274</v>
      </c>
      <c r="C80" s="6"/>
      <c r="D80" s="7">
        <v>9.8558130299999991E-2</v>
      </c>
      <c r="E80" s="7">
        <v>9.6647872900000015E-2</v>
      </c>
      <c r="F80" s="7">
        <v>9.6688270600000001E-2</v>
      </c>
      <c r="G80" s="7">
        <v>0.1156948948</v>
      </c>
      <c r="H80" s="7">
        <v>0.1108648109</v>
      </c>
      <c r="I80" s="7">
        <v>0.1135830498</v>
      </c>
      <c r="J80" s="7">
        <v>0.1065500927</v>
      </c>
      <c r="K80" s="7">
        <v>9.7940740599999992E-2</v>
      </c>
      <c r="L80" s="7">
        <v>9.8515748999999986E-2</v>
      </c>
      <c r="M80" s="7">
        <v>9.7109928100000006E-2</v>
      </c>
      <c r="N80" s="7">
        <v>0.101666851</v>
      </c>
      <c r="O80" s="7">
        <v>0.1009751129</v>
      </c>
      <c r="P80" s="7">
        <v>9.7831554399999993E-2</v>
      </c>
      <c r="Q80" s="7">
        <v>9.5672969800000007E-2</v>
      </c>
      <c r="R80" s="7">
        <v>9.3940277099999983E-2</v>
      </c>
      <c r="S80" s="7">
        <v>9.2215928999999988E-2</v>
      </c>
      <c r="T80" s="7">
        <v>0.10110288620000001</v>
      </c>
      <c r="U80" s="7">
        <v>9.8821420700000009E-2</v>
      </c>
      <c r="V80" s="7">
        <v>9.8800849899999987E-2</v>
      </c>
      <c r="W80" s="7">
        <v>9.3096303900000024E-2</v>
      </c>
      <c r="X80" s="7">
        <v>9.9852523800000009E-2</v>
      </c>
      <c r="Y80" s="7">
        <v>0.1101647377</v>
      </c>
      <c r="Z80" s="7">
        <v>9.9180898699999992E-2</v>
      </c>
      <c r="AA80" s="7">
        <v>9.5058021499999992E-2</v>
      </c>
      <c r="AB80" s="7"/>
      <c r="AC80" s="9">
        <f t="shared" si="8"/>
        <v>9.5058021499999992E-2</v>
      </c>
      <c r="AD80" s="10" t="str">
        <f t="shared" si="9"/>
        <v>2023</v>
      </c>
      <c r="AE80" s="9">
        <f t="shared" si="10"/>
        <v>9.9470497120000001E-2</v>
      </c>
      <c r="AF80" s="9">
        <f t="shared" si="11"/>
        <v>5.4941978500000002E-2</v>
      </c>
    </row>
    <row r="81" spans="1:32" x14ac:dyDescent="0.2">
      <c r="A81" s="6" t="s">
        <v>275</v>
      </c>
      <c r="B81" s="6" t="s">
        <v>276</v>
      </c>
      <c r="C81" s="6"/>
      <c r="D81" s="7">
        <v>0.16036664959999999</v>
      </c>
      <c r="E81" s="7">
        <v>0.14884941099999999</v>
      </c>
      <c r="F81" s="7">
        <v>0.16835000990000001</v>
      </c>
      <c r="G81" s="7">
        <v>0.1654575539</v>
      </c>
      <c r="H81" s="7">
        <v>0.16174716950000001</v>
      </c>
      <c r="I81" s="7">
        <v>0.1610535622</v>
      </c>
      <c r="J81" s="7">
        <v>0.1556947994</v>
      </c>
      <c r="K81" s="7">
        <v>0.1531141949</v>
      </c>
      <c r="L81" s="7">
        <v>0.10821981429999999</v>
      </c>
      <c r="M81" s="7">
        <v>0.1337118816</v>
      </c>
      <c r="N81" s="7">
        <v>0.13685042380000001</v>
      </c>
      <c r="O81" s="7">
        <v>0.130895977</v>
      </c>
      <c r="P81" s="7">
        <v>0.13802404400000001</v>
      </c>
      <c r="Q81" s="7">
        <v>0.14381056789999999</v>
      </c>
      <c r="R81" s="7">
        <v>0.14588025090000001</v>
      </c>
      <c r="S81" s="7">
        <v>0.15141594890000001</v>
      </c>
      <c r="T81" s="7">
        <v>0.14338545799999999</v>
      </c>
      <c r="U81" s="7">
        <v>0.15370499609999999</v>
      </c>
      <c r="V81" s="7">
        <v>0.15877482409999999</v>
      </c>
      <c r="W81" s="7">
        <v>0.16442132949999999</v>
      </c>
      <c r="X81" s="7">
        <v>0.15756275180000001</v>
      </c>
      <c r="Y81" s="7">
        <v>0.1646465302</v>
      </c>
      <c r="Z81" s="7">
        <v>0.16473974229999999</v>
      </c>
      <c r="AA81" s="7">
        <v>0.16063131329999999</v>
      </c>
      <c r="AB81" s="7"/>
      <c r="AC81" s="9">
        <f t="shared" si="8"/>
        <v>0.16063131329999999</v>
      </c>
      <c r="AD81" s="10" t="str">
        <f t="shared" si="9"/>
        <v>2023</v>
      </c>
      <c r="AE81" s="9">
        <f t="shared" si="10"/>
        <v>0.16240033341999999</v>
      </c>
      <c r="AF81" s="9">
        <f t="shared" si="11"/>
        <v>0</v>
      </c>
    </row>
    <row r="82" spans="1:32" x14ac:dyDescent="0.2">
      <c r="A82" s="6" t="s">
        <v>92</v>
      </c>
      <c r="B82" s="6" t="s">
        <v>93</v>
      </c>
      <c r="C82" s="6"/>
      <c r="D82" s="7">
        <v>3.0505600000000001E-2</v>
      </c>
      <c r="E82" s="7">
        <v>2.9032168399999999E-2</v>
      </c>
      <c r="F82" s="7">
        <v>2.77127647E-2</v>
      </c>
      <c r="G82" s="7">
        <v>2.6768760699999991E-2</v>
      </c>
      <c r="H82" s="7">
        <v>2.6527741000000001E-2</v>
      </c>
      <c r="I82" s="7">
        <v>2.93604422E-2</v>
      </c>
      <c r="J82" s="7">
        <v>2.88599753E-2</v>
      </c>
      <c r="K82" s="7">
        <v>2.787342789999999E-2</v>
      </c>
      <c r="L82" s="7">
        <v>2.7989826200000002E-2</v>
      </c>
      <c r="M82" s="7">
        <v>3.1219337E-2</v>
      </c>
      <c r="N82" s="7">
        <v>3.1116299600000001E-2</v>
      </c>
      <c r="O82" s="7">
        <v>3.3813006899999998E-2</v>
      </c>
      <c r="P82" s="7">
        <v>3.4384939700000013E-2</v>
      </c>
      <c r="Q82" s="7">
        <v>3.2388324699999999E-2</v>
      </c>
      <c r="R82" s="7">
        <v>3.2507054799999997E-2</v>
      </c>
      <c r="S82" s="7">
        <v>3.3762400200000001E-2</v>
      </c>
      <c r="T82" s="7">
        <v>3.3933346299999993E-2</v>
      </c>
      <c r="U82" s="7">
        <v>3.6608045100000007E-2</v>
      </c>
      <c r="V82" s="7">
        <v>3.6753218200000007E-2</v>
      </c>
      <c r="W82" s="7">
        <v>3.8472986200000003E-2</v>
      </c>
      <c r="X82" s="7">
        <v>3.6866047399999997E-2</v>
      </c>
      <c r="Y82" s="7">
        <v>4.4556293499999997E-2</v>
      </c>
      <c r="Z82" s="7">
        <v>4.7143902799999991E-2</v>
      </c>
      <c r="AA82" s="7">
        <v>4.5867085500000002E-2</v>
      </c>
      <c r="AB82" s="7"/>
      <c r="AC82" s="9">
        <f t="shared" si="8"/>
        <v>4.5867085500000002E-2</v>
      </c>
      <c r="AD82" s="10" t="str">
        <f t="shared" si="9"/>
        <v>2023</v>
      </c>
      <c r="AE82" s="9">
        <f t="shared" si="10"/>
        <v>4.2581263080000001E-2</v>
      </c>
      <c r="AF82" s="9">
        <f t="shared" si="11"/>
        <v>0.10413291449999999</v>
      </c>
    </row>
    <row r="83" spans="1:32" x14ac:dyDescent="0.2">
      <c r="A83" s="6" t="s">
        <v>94</v>
      </c>
      <c r="B83" s="6" t="s">
        <v>95</v>
      </c>
      <c r="C83" s="6"/>
      <c r="D83" s="7">
        <v>3.5924179599999988E-2</v>
      </c>
      <c r="E83" s="7">
        <v>3.9583151300000001E-2</v>
      </c>
      <c r="F83" s="7">
        <v>3.98283839E-2</v>
      </c>
      <c r="G83" s="7">
        <v>4.4996161499999993E-2</v>
      </c>
      <c r="H83" s="7">
        <v>4.2014951699999997E-2</v>
      </c>
      <c r="I83" s="7">
        <v>4.2081808999999998E-2</v>
      </c>
      <c r="J83" s="7">
        <v>4.5113744700000007E-2</v>
      </c>
      <c r="K83" s="7">
        <v>5.4374208499999993E-2</v>
      </c>
      <c r="L83" s="7">
        <v>4.6298518200000013E-2</v>
      </c>
      <c r="M83" s="7">
        <v>5.4129438400000007E-2</v>
      </c>
      <c r="N83" s="7">
        <v>3.9148962500000002E-2</v>
      </c>
      <c r="O83" s="7">
        <v>3.9625184500000001E-2</v>
      </c>
      <c r="P83" s="7">
        <v>4.0733542400000003E-2</v>
      </c>
      <c r="Q83" s="7">
        <v>4.3404297799999991E-2</v>
      </c>
      <c r="R83" s="7">
        <v>5.4055018399999988E-2</v>
      </c>
      <c r="S83" s="7">
        <v>6.5787243799999992E-2</v>
      </c>
      <c r="T83" s="7">
        <v>8.1296863599999991E-2</v>
      </c>
      <c r="U83" s="7">
        <v>8.2089261999999982E-2</v>
      </c>
      <c r="V83" s="7">
        <v>8.4031391099999991E-2</v>
      </c>
      <c r="W83" s="7">
        <v>8.5453538900000028E-2</v>
      </c>
      <c r="X83" s="7">
        <v>0.1024196243</v>
      </c>
      <c r="Y83" s="7">
        <v>0.1214989853</v>
      </c>
      <c r="Z83" s="7">
        <v>8.0798511500000003E-2</v>
      </c>
      <c r="AA83" s="7">
        <v>8.5207309700000011E-2</v>
      </c>
      <c r="AB83" s="7"/>
      <c r="AC83" s="9">
        <f t="shared" si="8"/>
        <v>8.5207309700000011E-2</v>
      </c>
      <c r="AD83" s="10" t="str">
        <f t="shared" si="9"/>
        <v>2023</v>
      </c>
      <c r="AE83" s="9">
        <f t="shared" si="10"/>
        <v>9.5075593940000008E-2</v>
      </c>
      <c r="AF83" s="9">
        <f t="shared" si="11"/>
        <v>6.4792690299999983E-2</v>
      </c>
    </row>
    <row r="84" spans="1:32" x14ac:dyDescent="0.2">
      <c r="A84" s="6" t="s">
        <v>277</v>
      </c>
      <c r="B84" s="6" t="s">
        <v>278</v>
      </c>
      <c r="C84" s="6"/>
      <c r="D84" s="7">
        <v>0.1095240307</v>
      </c>
      <c r="E84" s="7">
        <v>0.11870626450000001</v>
      </c>
      <c r="F84" s="7">
        <v>9.5656499900000011E-2</v>
      </c>
      <c r="G84" s="7">
        <v>0.1021229744</v>
      </c>
      <c r="H84" s="7">
        <v>0.1016240692</v>
      </c>
      <c r="I84" s="7">
        <v>9.0055866200000001E-2</v>
      </c>
      <c r="J84" s="7">
        <v>9.6129694000000002E-2</v>
      </c>
      <c r="K84" s="7">
        <v>0.11534694669999999</v>
      </c>
      <c r="L84" s="7">
        <v>9.4751682300000015E-2</v>
      </c>
      <c r="M84" s="7">
        <v>0.123770647</v>
      </c>
      <c r="N84" s="7">
        <v>0.1252360535</v>
      </c>
      <c r="O84" s="7">
        <v>0.1202372837</v>
      </c>
      <c r="P84" s="7">
        <v>0.15606088639999999</v>
      </c>
      <c r="Q84" s="7">
        <v>0.1634275436</v>
      </c>
      <c r="R84" s="7">
        <v>0.23143846509999999</v>
      </c>
      <c r="S84" s="7">
        <v>0.2584053993</v>
      </c>
      <c r="T84" s="7">
        <v>0.24215339659999999</v>
      </c>
      <c r="U84" s="7">
        <v>0.24504798890000001</v>
      </c>
      <c r="V84" s="7">
        <v>0.20785600660000009</v>
      </c>
      <c r="W84" s="7">
        <v>0.19447935099999999</v>
      </c>
      <c r="X84" s="7">
        <v>0.1902957344</v>
      </c>
      <c r="Y84" s="7">
        <v>0.16051506039999999</v>
      </c>
      <c r="Z84" s="7">
        <v>0.1911185074</v>
      </c>
      <c r="AA84" s="7">
        <v>0.19061492919999989</v>
      </c>
      <c r="AB84" s="7"/>
      <c r="AC84" s="9">
        <f t="shared" si="8"/>
        <v>0.19061492919999989</v>
      </c>
      <c r="AD84" s="10" t="str">
        <f t="shared" si="9"/>
        <v>2023</v>
      </c>
      <c r="AE84" s="9">
        <f t="shared" si="10"/>
        <v>0.18540471647999998</v>
      </c>
      <c r="AF84" s="9">
        <f t="shared" si="11"/>
        <v>0</v>
      </c>
    </row>
    <row r="85" spans="1:32" x14ac:dyDescent="0.2">
      <c r="A85" s="6" t="s">
        <v>96</v>
      </c>
      <c r="B85" s="6" t="s">
        <v>97</v>
      </c>
      <c r="C85" s="6"/>
      <c r="D85" s="7"/>
      <c r="E85" s="7"/>
      <c r="F85" s="7"/>
      <c r="G85" s="7">
        <v>3.1310050499999999E-2</v>
      </c>
      <c r="H85" s="7">
        <v>2.9806504200000011E-2</v>
      </c>
      <c r="I85" s="7">
        <v>3.1964197200000002E-2</v>
      </c>
      <c r="J85" s="7">
        <v>3.0470798E-2</v>
      </c>
      <c r="K85" s="7">
        <v>4.633220200000001E-2</v>
      </c>
      <c r="L85" s="7">
        <v>4.1442575500000009E-2</v>
      </c>
      <c r="M85" s="7">
        <v>4.7337260200000009E-2</v>
      </c>
      <c r="N85" s="7">
        <v>4.8027453400000003E-2</v>
      </c>
      <c r="O85" s="7">
        <v>4.7986240399999998E-2</v>
      </c>
      <c r="P85" s="7">
        <v>2.3523643E-2</v>
      </c>
      <c r="Q85" s="7">
        <v>2.37589312E-2</v>
      </c>
      <c r="R85" s="7">
        <v>2.3695983899999998E-2</v>
      </c>
      <c r="S85" s="7">
        <v>1.6812644000000002E-2</v>
      </c>
      <c r="T85" s="7">
        <v>5.9849252699999987E-2</v>
      </c>
      <c r="U85" s="7">
        <v>4.7749204599999998E-2</v>
      </c>
      <c r="V85" s="7">
        <v>6.4310226400000003E-2</v>
      </c>
      <c r="W85" s="7">
        <v>5.9936714199999998E-2</v>
      </c>
      <c r="X85" s="7">
        <v>6.1605987500000001E-2</v>
      </c>
      <c r="Y85" s="7">
        <v>6.9839291599999992E-2</v>
      </c>
      <c r="Z85" s="7">
        <v>5.8415260299999987E-2</v>
      </c>
      <c r="AA85" s="7">
        <v>6.1847820300000002E-2</v>
      </c>
      <c r="AB85" s="7"/>
      <c r="AC85" s="9">
        <f t="shared" si="8"/>
        <v>6.1847820300000002E-2</v>
      </c>
      <c r="AD85" s="10" t="str">
        <f t="shared" si="9"/>
        <v>2023</v>
      </c>
      <c r="AE85" s="9">
        <f t="shared" si="10"/>
        <v>6.2329014780000004E-2</v>
      </c>
      <c r="AF85" s="9">
        <f t="shared" si="11"/>
        <v>8.81521797E-2</v>
      </c>
    </row>
    <row r="86" spans="1:32" x14ac:dyDescent="0.2">
      <c r="A86" s="6" t="s">
        <v>279</v>
      </c>
      <c r="B86" s="6" t="s">
        <v>280</v>
      </c>
      <c r="C86" s="6"/>
      <c r="D86" s="7">
        <v>0.14958853720000001</v>
      </c>
      <c r="E86" s="7">
        <v>0.15585073469999999</v>
      </c>
      <c r="F86" s="7">
        <v>0.1603050613</v>
      </c>
      <c r="G86" s="7">
        <v>0.16897214890000001</v>
      </c>
      <c r="H86" s="7">
        <v>0.17359148029999999</v>
      </c>
      <c r="I86" s="7">
        <v>0.18252866740000001</v>
      </c>
      <c r="J86" s="7">
        <v>0.1742926025</v>
      </c>
      <c r="K86" s="7">
        <v>0.17357664110000001</v>
      </c>
      <c r="L86" s="7">
        <v>0.17418354029999999</v>
      </c>
      <c r="M86" s="7">
        <v>0.17301879880000001</v>
      </c>
      <c r="N86" s="7">
        <v>0.1235386944</v>
      </c>
      <c r="O86" s="7">
        <v>0.1617974281</v>
      </c>
      <c r="P86" s="7">
        <v>0.1792600822</v>
      </c>
      <c r="Q86" s="7">
        <v>0.1791790771</v>
      </c>
      <c r="R86" s="7">
        <v>0.18022365570000001</v>
      </c>
      <c r="S86" s="7">
        <v>0.18121469500000001</v>
      </c>
      <c r="T86" s="7">
        <v>0.19262596130000001</v>
      </c>
      <c r="U86" s="7">
        <v>0.19867967610000001</v>
      </c>
      <c r="V86" s="7">
        <v>0.2005216789</v>
      </c>
      <c r="W86" s="7">
        <v>0.2046954346</v>
      </c>
      <c r="X86" s="7">
        <v>0.20296590810000001</v>
      </c>
      <c r="Y86" s="7">
        <v>0.20970272059999989</v>
      </c>
      <c r="Z86" s="7">
        <v>0.2236679268</v>
      </c>
      <c r="AA86" s="7">
        <v>0.22157461170000001</v>
      </c>
      <c r="AB86" s="7"/>
      <c r="AC86" s="9">
        <f t="shared" si="8"/>
        <v>0.22157461170000001</v>
      </c>
      <c r="AD86" s="10" t="str">
        <f t="shared" si="9"/>
        <v>2023</v>
      </c>
      <c r="AE86" s="9">
        <f t="shared" si="10"/>
        <v>0.21252132035999999</v>
      </c>
      <c r="AF86" s="9">
        <f t="shared" si="11"/>
        <v>0</v>
      </c>
    </row>
    <row r="87" spans="1:32" x14ac:dyDescent="0.2">
      <c r="A87" s="6" t="s">
        <v>281</v>
      </c>
      <c r="B87" s="6" t="s">
        <v>282</v>
      </c>
      <c r="C87" s="6"/>
      <c r="D87" s="7">
        <v>9.4096450800000009E-2</v>
      </c>
      <c r="E87" s="7">
        <v>9.3331689800000006E-2</v>
      </c>
      <c r="F87" s="7">
        <v>8.6858453799999985E-2</v>
      </c>
      <c r="G87" s="7">
        <v>9.2341356299999997E-2</v>
      </c>
      <c r="H87" s="7">
        <v>9.5808048200000009E-2</v>
      </c>
      <c r="I87" s="7">
        <v>9.571616170000001E-2</v>
      </c>
      <c r="J87" s="7">
        <v>9.8508119599999985E-2</v>
      </c>
      <c r="K87" s="7">
        <v>9.8824996899999989E-2</v>
      </c>
      <c r="L87" s="7">
        <v>9.9371213899999991E-2</v>
      </c>
      <c r="M87" s="7">
        <v>9.9998760199999981E-2</v>
      </c>
      <c r="N87" s="7">
        <v>0.1065287113</v>
      </c>
      <c r="O87" s="7">
        <v>0.1064939976</v>
      </c>
      <c r="P87" s="7">
        <v>0.1080281639</v>
      </c>
      <c r="Q87" s="7">
        <v>0.1091187763</v>
      </c>
      <c r="R87" s="7">
        <v>0.114034071</v>
      </c>
      <c r="S87" s="7">
        <v>0.11648652080000001</v>
      </c>
      <c r="T87" s="7">
        <v>0.1165191364</v>
      </c>
      <c r="U87" s="7">
        <v>0.1176447964</v>
      </c>
      <c r="V87" s="7">
        <v>0.11756129260000001</v>
      </c>
      <c r="W87" s="7">
        <v>0.11899981499999999</v>
      </c>
      <c r="X87" s="7">
        <v>0.1155164719</v>
      </c>
      <c r="Y87" s="7">
        <v>0.1378275585</v>
      </c>
      <c r="Z87" s="7">
        <v>0.117809267</v>
      </c>
      <c r="AA87" s="7">
        <v>0.11565848350000001</v>
      </c>
      <c r="AB87" s="7"/>
      <c r="AC87" s="9">
        <f t="shared" si="8"/>
        <v>0.11565848350000001</v>
      </c>
      <c r="AD87" s="10" t="str">
        <f t="shared" si="9"/>
        <v>2023</v>
      </c>
      <c r="AE87" s="9">
        <f t="shared" si="10"/>
        <v>0.12116231918000001</v>
      </c>
      <c r="AF87" s="9">
        <f t="shared" si="11"/>
        <v>3.4341516499999988E-2</v>
      </c>
    </row>
    <row r="88" spans="1:32" x14ac:dyDescent="0.2">
      <c r="A88" s="6" t="s">
        <v>283</v>
      </c>
      <c r="B88" s="6" t="s">
        <v>284</v>
      </c>
      <c r="C88" s="6"/>
      <c r="D88" s="7">
        <v>0.1182270718</v>
      </c>
      <c r="E88" s="7">
        <v>0.12208768840000001</v>
      </c>
      <c r="F88" s="7">
        <v>0.12634198190000001</v>
      </c>
      <c r="G88" s="7">
        <v>0.12521319389999999</v>
      </c>
      <c r="H88" s="7">
        <v>0.132946434</v>
      </c>
      <c r="I88" s="7">
        <v>0.13683553700000001</v>
      </c>
      <c r="J88" s="7">
        <v>0.13728820799999999</v>
      </c>
      <c r="K88" s="7">
        <v>0.13471567149999999</v>
      </c>
      <c r="L88" s="7">
        <v>0.1382932663</v>
      </c>
      <c r="M88" s="7">
        <v>0.13670727730000001</v>
      </c>
      <c r="N88" s="7">
        <v>0.1398853397</v>
      </c>
      <c r="O88" s="7">
        <v>0.13711050029999999</v>
      </c>
      <c r="P88" s="7">
        <v>0.1313403702</v>
      </c>
      <c r="Q88" s="7">
        <v>0.12982636450000001</v>
      </c>
      <c r="R88" s="7">
        <v>0.1308990002</v>
      </c>
      <c r="S88" s="7">
        <v>0.13031324389999999</v>
      </c>
      <c r="T88" s="7">
        <v>0.13164087299999999</v>
      </c>
      <c r="U88" s="7">
        <v>0.13062401770000001</v>
      </c>
      <c r="V88" s="7">
        <v>0.13140236850000001</v>
      </c>
      <c r="W88" s="7">
        <v>0.13031165119999999</v>
      </c>
      <c r="X88" s="7">
        <v>0.12771645549999999</v>
      </c>
      <c r="Y88" s="7">
        <v>0.12345703130000001</v>
      </c>
      <c r="Z88" s="7">
        <v>0.1188685894</v>
      </c>
      <c r="AA88" s="7">
        <v>0.1143561649</v>
      </c>
      <c r="AB88" s="7"/>
      <c r="AC88" s="9">
        <f t="shared" si="8"/>
        <v>0.1143561649</v>
      </c>
      <c r="AD88" s="10" t="str">
        <f t="shared" si="9"/>
        <v>2023</v>
      </c>
      <c r="AE88" s="9">
        <f t="shared" si="10"/>
        <v>0.12294197846000002</v>
      </c>
      <c r="AF88" s="9">
        <f t="shared" si="11"/>
        <v>3.5643835099999993E-2</v>
      </c>
    </row>
    <row r="89" spans="1:32" x14ac:dyDescent="0.2">
      <c r="A89" s="6" t="s">
        <v>98</v>
      </c>
      <c r="B89" s="6" t="s">
        <v>99</v>
      </c>
      <c r="C89" s="6"/>
      <c r="D89" s="7">
        <v>0.1184148693</v>
      </c>
      <c r="E89" s="7">
        <v>8.2009611099999991E-2</v>
      </c>
      <c r="F89" s="7">
        <v>8.6676101699999994E-2</v>
      </c>
      <c r="G89" s="7">
        <v>6.1375989899999997E-2</v>
      </c>
      <c r="H89" s="7">
        <v>7.6452746399999993E-2</v>
      </c>
      <c r="I89" s="7">
        <v>7.4342040999999998E-2</v>
      </c>
      <c r="J89" s="7">
        <v>6.2574462900000002E-2</v>
      </c>
      <c r="K89" s="7">
        <v>8.2274961500000007E-2</v>
      </c>
      <c r="L89" s="7">
        <v>8.35763645E-2</v>
      </c>
      <c r="M89" s="7">
        <v>7.4510445600000003E-2</v>
      </c>
      <c r="N89" s="7">
        <v>9.0329322799999986E-2</v>
      </c>
      <c r="O89" s="7">
        <v>9.5287666300000004E-2</v>
      </c>
      <c r="P89" s="7">
        <v>9.1577920899999998E-2</v>
      </c>
      <c r="Q89" s="7">
        <v>0.10769290920000001</v>
      </c>
      <c r="R89" s="7">
        <v>0.11251960749999999</v>
      </c>
      <c r="S89" s="7">
        <v>0.12820219990000001</v>
      </c>
      <c r="T89" s="7">
        <v>0.12683865550000001</v>
      </c>
      <c r="U89" s="7">
        <v>0.13954786299999999</v>
      </c>
      <c r="V89" s="7">
        <v>0.1303939724</v>
      </c>
      <c r="W89" s="7">
        <v>0.13320454600000001</v>
      </c>
      <c r="X89" s="7">
        <v>0.13988928789999999</v>
      </c>
      <c r="Y89" s="7">
        <v>0.16177646640000001</v>
      </c>
      <c r="Z89" s="7">
        <v>0.18963239670000001</v>
      </c>
      <c r="AA89" s="7">
        <v>0.15855963710000001</v>
      </c>
      <c r="AB89" s="7"/>
      <c r="AC89" s="9">
        <f t="shared" si="8"/>
        <v>0.15855963710000001</v>
      </c>
      <c r="AD89" s="10" t="str">
        <f t="shared" si="9"/>
        <v>2023</v>
      </c>
      <c r="AE89" s="9">
        <f t="shared" si="10"/>
        <v>0.15661246681999999</v>
      </c>
      <c r="AF89" s="9">
        <f t="shared" si="11"/>
        <v>0</v>
      </c>
    </row>
    <row r="90" spans="1:32" x14ac:dyDescent="0.2">
      <c r="A90" s="6" t="s">
        <v>285</v>
      </c>
      <c r="B90" s="6" t="s">
        <v>286</v>
      </c>
      <c r="C90" s="6"/>
      <c r="D90" s="7">
        <v>0.15068058009999999</v>
      </c>
      <c r="E90" s="7">
        <v>0.1594543266</v>
      </c>
      <c r="F90" s="7">
        <v>0.16061542509999999</v>
      </c>
      <c r="G90" s="7">
        <v>0.16358207699999999</v>
      </c>
      <c r="H90" s="7">
        <v>0.1719595528</v>
      </c>
      <c r="I90" s="7">
        <v>0.17754880910000001</v>
      </c>
      <c r="J90" s="7">
        <v>0.17866653439999999</v>
      </c>
      <c r="K90" s="7">
        <v>0.18227022170000001</v>
      </c>
      <c r="L90" s="7">
        <v>0.18098146439999999</v>
      </c>
      <c r="M90" s="7">
        <v>0.1805703545</v>
      </c>
      <c r="N90" s="7">
        <v>0.18932966230000001</v>
      </c>
      <c r="O90" s="7">
        <v>0.2169265366</v>
      </c>
      <c r="P90" s="7">
        <v>0.22224498749999999</v>
      </c>
      <c r="Q90" s="7">
        <v>0.22218540190000011</v>
      </c>
      <c r="R90" s="7">
        <v>0.2257162476</v>
      </c>
      <c r="S90" s="7">
        <v>0.23150287629999999</v>
      </c>
      <c r="T90" s="7">
        <v>0.23176727289999999</v>
      </c>
      <c r="U90" s="7">
        <v>0.24461990359999999</v>
      </c>
      <c r="V90" s="7">
        <v>0.24488889690000001</v>
      </c>
      <c r="W90" s="7">
        <v>0.24698089599999989</v>
      </c>
      <c r="X90" s="7">
        <v>0.21954463960000009</v>
      </c>
      <c r="Y90" s="7">
        <v>0.24535604480000001</v>
      </c>
      <c r="Z90" s="7">
        <v>0.25365554810000002</v>
      </c>
      <c r="AA90" s="7">
        <v>0.23300525669999991</v>
      </c>
      <c r="AB90" s="7"/>
      <c r="AC90" s="9">
        <f t="shared" si="8"/>
        <v>0.23300525669999991</v>
      </c>
      <c r="AD90" s="10" t="str">
        <f t="shared" si="9"/>
        <v>2023</v>
      </c>
      <c r="AE90" s="9">
        <f t="shared" si="10"/>
        <v>0.23970847703999998</v>
      </c>
      <c r="AF90" s="9">
        <f t="shared" si="11"/>
        <v>0</v>
      </c>
    </row>
    <row r="91" spans="1:32" x14ac:dyDescent="0.2">
      <c r="A91" s="6" t="s">
        <v>100</v>
      </c>
      <c r="B91" s="6" t="s">
        <v>101</v>
      </c>
      <c r="C91" s="6"/>
      <c r="D91" s="7">
        <v>0.12689116480000001</v>
      </c>
      <c r="E91" s="7">
        <v>0.1361480045</v>
      </c>
      <c r="F91" s="7">
        <v>0.1338210011</v>
      </c>
      <c r="G91" s="7">
        <v>0.1137036991</v>
      </c>
      <c r="H91" s="7">
        <v>9.4005899400000009E-2</v>
      </c>
      <c r="I91" s="7">
        <v>0.1178674316</v>
      </c>
      <c r="J91" s="7">
        <v>0.11360123630000001</v>
      </c>
      <c r="K91" s="7">
        <v>0.12519184110000001</v>
      </c>
      <c r="L91" s="7">
        <v>0.15125434879999999</v>
      </c>
      <c r="M91" s="7">
        <v>0.17915904999999999</v>
      </c>
      <c r="N91" s="7">
        <v>0.17020586009999999</v>
      </c>
      <c r="O91" s="7">
        <v>0.15417558670000001</v>
      </c>
      <c r="P91" s="7">
        <v>0.1367097759</v>
      </c>
      <c r="Q91" s="7">
        <v>0.1312652111</v>
      </c>
      <c r="R91" s="7">
        <v>0.1306403065</v>
      </c>
      <c r="S91" s="7">
        <v>0.1221973801</v>
      </c>
      <c r="T91" s="7">
        <v>0.1123799038</v>
      </c>
      <c r="U91" s="7">
        <v>0.110992403</v>
      </c>
      <c r="V91" s="7">
        <v>9.9767198599999996E-2</v>
      </c>
      <c r="W91" s="7">
        <v>0.1008031368</v>
      </c>
      <c r="X91" s="7">
        <v>0.1076589775</v>
      </c>
      <c r="Y91" s="7">
        <v>0.10347292900000001</v>
      </c>
      <c r="Z91" s="7">
        <v>0.10466299060000001</v>
      </c>
      <c r="AA91" s="7">
        <v>0.1050131416</v>
      </c>
      <c r="AB91" s="7"/>
      <c r="AC91" s="9">
        <f t="shared" si="8"/>
        <v>0.1050131416</v>
      </c>
      <c r="AD91" s="10" t="str">
        <f t="shared" si="9"/>
        <v>2023</v>
      </c>
      <c r="AE91" s="9">
        <f t="shared" si="10"/>
        <v>0.10432223510000001</v>
      </c>
      <c r="AF91" s="9">
        <f t="shared" si="11"/>
        <v>4.4986858399999996E-2</v>
      </c>
    </row>
    <row r="92" spans="1:32" x14ac:dyDescent="0.2">
      <c r="A92" s="6" t="s">
        <v>287</v>
      </c>
      <c r="B92" s="6" t="s">
        <v>288</v>
      </c>
      <c r="C92" s="6"/>
      <c r="D92" s="7">
        <v>9.2461404799999994E-2</v>
      </c>
      <c r="E92" s="7">
        <v>8.4094734199999979E-2</v>
      </c>
      <c r="F92" s="7">
        <v>9.4205989800000015E-2</v>
      </c>
      <c r="G92" s="7">
        <v>9.5652113000000011E-2</v>
      </c>
      <c r="H92" s="7">
        <v>0.1094160748</v>
      </c>
      <c r="I92" s="7">
        <v>0.1153032875</v>
      </c>
      <c r="J92" s="7">
        <v>0.1172052765</v>
      </c>
      <c r="K92" s="7">
        <v>7.5760259600000004E-2</v>
      </c>
      <c r="L92" s="7">
        <v>8.4132976500000012E-2</v>
      </c>
      <c r="M92" s="7">
        <v>0.1136352253</v>
      </c>
      <c r="N92" s="7">
        <v>8.2052278499999978E-2</v>
      </c>
      <c r="O92" s="7">
        <v>8.6768655800000011E-2</v>
      </c>
      <c r="P92" s="7">
        <v>9.4463634500000018E-2</v>
      </c>
      <c r="Q92" s="7">
        <v>9.3241930000000015E-2</v>
      </c>
      <c r="R92" s="7">
        <v>0.10034290310000001</v>
      </c>
      <c r="S92" s="7">
        <v>8.394762040000002E-2</v>
      </c>
      <c r="T92" s="7">
        <v>9.4843940700000004E-2</v>
      </c>
      <c r="U92" s="7">
        <v>7.8573441500000007E-2</v>
      </c>
      <c r="V92" s="7">
        <v>9.0960388200000006E-2</v>
      </c>
      <c r="W92" s="7">
        <v>8.2512455000000012E-2</v>
      </c>
      <c r="X92" s="7">
        <v>0.1006113434</v>
      </c>
      <c r="Y92" s="7">
        <v>0.1161758327</v>
      </c>
      <c r="Z92" s="7">
        <v>0.10601153369999999</v>
      </c>
      <c r="AA92" s="7">
        <v>0.1070054817</v>
      </c>
      <c r="AB92" s="7"/>
      <c r="AC92" s="9">
        <f t="shared" si="8"/>
        <v>0.1070054817</v>
      </c>
      <c r="AD92" s="10" t="str">
        <f t="shared" si="9"/>
        <v>2023</v>
      </c>
      <c r="AE92" s="9">
        <f t="shared" si="10"/>
        <v>0.10246332929999999</v>
      </c>
      <c r="AF92" s="9">
        <f t="shared" si="11"/>
        <v>4.2994518299999993E-2</v>
      </c>
    </row>
    <row r="93" spans="1:32" x14ac:dyDescent="0.2">
      <c r="A93" s="6" t="s">
        <v>102</v>
      </c>
      <c r="B93" s="6" t="s">
        <v>103</v>
      </c>
      <c r="C93" s="6" t="s">
        <v>49</v>
      </c>
      <c r="D93" s="7">
        <v>7.0889825800000014E-2</v>
      </c>
      <c r="E93" s="8">
        <v>7.0889825800000014E-2</v>
      </c>
      <c r="F93" s="8">
        <v>7.0889825800000014E-2</v>
      </c>
      <c r="G93" s="7">
        <v>7.0224299399999995E-2</v>
      </c>
      <c r="H93" s="7">
        <v>6.9893774999999991E-2</v>
      </c>
      <c r="I93" s="7">
        <v>6.8923878699999996E-2</v>
      </c>
      <c r="J93" s="7">
        <v>6.8128094699999989E-2</v>
      </c>
      <c r="K93" s="7">
        <v>7.0393862700000018E-2</v>
      </c>
      <c r="L93" s="7">
        <v>7.1708049799999993E-2</v>
      </c>
      <c r="M93" s="7">
        <v>7.2007761000000003E-2</v>
      </c>
      <c r="N93" s="7">
        <v>7.2441263200000008E-2</v>
      </c>
      <c r="O93" s="7">
        <v>7.9810910200000015E-2</v>
      </c>
      <c r="P93" s="7">
        <v>7.3592791599999999E-2</v>
      </c>
      <c r="Q93" s="7">
        <v>7.149720670000001E-2</v>
      </c>
      <c r="R93" s="7">
        <v>7.8450078999999992E-2</v>
      </c>
      <c r="S93" s="7">
        <v>8.0744800599999986E-2</v>
      </c>
      <c r="T93" s="7">
        <v>8.0254344899999996E-2</v>
      </c>
      <c r="U93" s="7">
        <v>6.7924046500000002E-2</v>
      </c>
      <c r="V93" s="7">
        <v>7.2187452299999982E-2</v>
      </c>
      <c r="W93" s="7">
        <v>8.2272357900000023E-2</v>
      </c>
      <c r="X93" s="7">
        <v>8.9104604700000006E-2</v>
      </c>
      <c r="Y93" s="7">
        <v>9.2824087100000008E-2</v>
      </c>
      <c r="Z93" s="7">
        <v>8.6511554700000007E-2</v>
      </c>
      <c r="AA93" s="8">
        <v>8.6511554700000007E-2</v>
      </c>
      <c r="AB93" s="7"/>
      <c r="AC93" s="9">
        <f t="shared" si="8"/>
        <v>8.6511554700000007E-2</v>
      </c>
      <c r="AD93" s="10" t="str">
        <f t="shared" si="9"/>
        <v>2023</v>
      </c>
      <c r="AE93" s="9">
        <f t="shared" si="10"/>
        <v>8.7444831819999999E-2</v>
      </c>
      <c r="AF93" s="9">
        <f t="shared" si="11"/>
        <v>6.3488445299999988E-2</v>
      </c>
    </row>
    <row r="94" spans="1:32" x14ac:dyDescent="0.2">
      <c r="A94" s="6" t="s">
        <v>289</v>
      </c>
      <c r="B94" s="6" t="s">
        <v>290</v>
      </c>
      <c r="C94" s="6"/>
      <c r="D94" s="7">
        <v>0.11406235689999999</v>
      </c>
      <c r="E94" s="8">
        <v>0.11406220440000001</v>
      </c>
      <c r="F94" s="8">
        <v>0.1140624046</v>
      </c>
      <c r="G94" s="8">
        <v>0.1140624046</v>
      </c>
      <c r="H94" s="7">
        <v>0.1140625858</v>
      </c>
      <c r="I94" s="7">
        <v>0.11406224249999999</v>
      </c>
      <c r="J94" s="7">
        <v>0.1140626049</v>
      </c>
      <c r="K94" s="7">
        <v>0.11375</v>
      </c>
      <c r="L94" s="7">
        <v>0.12690647129999999</v>
      </c>
      <c r="M94" s="7">
        <v>0.1090298462</v>
      </c>
      <c r="N94" s="7">
        <v>0.1044525528</v>
      </c>
      <c r="O94" s="7">
        <v>9.2922077200000022E-2</v>
      </c>
      <c r="P94" s="7">
        <v>8.3630952799999991E-2</v>
      </c>
      <c r="Q94" s="7">
        <v>9.1595096600000009E-2</v>
      </c>
      <c r="R94" s="7">
        <v>7.2800002099999997E-2</v>
      </c>
      <c r="S94" s="7">
        <v>6.6896553000000011E-2</v>
      </c>
      <c r="T94" s="7">
        <v>7.7818183900000004E-2</v>
      </c>
      <c r="U94" s="7">
        <v>9.0298509600000007E-2</v>
      </c>
      <c r="V94" s="7">
        <v>8.0882348999999992E-2</v>
      </c>
      <c r="W94" s="7">
        <v>8.5207099899999986E-2</v>
      </c>
      <c r="X94" s="7">
        <v>9.2987804399999999E-2</v>
      </c>
      <c r="Y94" s="7">
        <v>0.10564263340000001</v>
      </c>
      <c r="Z94" s="7">
        <v>9.7087287899999999E-2</v>
      </c>
      <c r="AA94" s="7">
        <v>9.0027809099999981E-2</v>
      </c>
      <c r="AB94" s="7"/>
      <c r="AC94" s="9">
        <f t="shared" si="8"/>
        <v>9.0027809099999981E-2</v>
      </c>
      <c r="AD94" s="10" t="str">
        <f t="shared" si="9"/>
        <v>2023</v>
      </c>
      <c r="AE94" s="9">
        <f t="shared" si="10"/>
        <v>9.4190526939999991E-2</v>
      </c>
      <c r="AF94" s="9">
        <f t="shared" si="11"/>
        <v>5.9972190900000014E-2</v>
      </c>
    </row>
    <row r="95" spans="1:32" x14ac:dyDescent="0.2">
      <c r="A95" s="6" t="s">
        <v>291</v>
      </c>
      <c r="B95" s="6" t="s">
        <v>292</v>
      </c>
      <c r="C95" s="6"/>
      <c r="D95" s="7">
        <v>5.4496169099999998E-2</v>
      </c>
      <c r="E95" s="7">
        <v>6.174661640000001E-2</v>
      </c>
      <c r="F95" s="7">
        <v>5.6968455299999991E-2</v>
      </c>
      <c r="G95" s="7">
        <v>5.6350951199999999E-2</v>
      </c>
      <c r="H95" s="7">
        <v>5.1476211500000008E-2</v>
      </c>
      <c r="I95" s="7">
        <v>5.3828997599999998E-2</v>
      </c>
      <c r="J95" s="7">
        <v>4.3487558400000001E-2</v>
      </c>
      <c r="K95" s="7">
        <v>4.8705582599999998E-2</v>
      </c>
      <c r="L95" s="7">
        <v>3.6926369700000003E-2</v>
      </c>
      <c r="M95" s="7">
        <v>5.1779451400000003E-2</v>
      </c>
      <c r="N95" s="7">
        <v>4.9814395900000003E-2</v>
      </c>
      <c r="O95" s="7">
        <v>4.9837608300000003E-2</v>
      </c>
      <c r="P95" s="7">
        <v>5.1189165100000003E-2</v>
      </c>
      <c r="Q95" s="7">
        <v>5.4484105100000013E-2</v>
      </c>
      <c r="R95" s="7">
        <v>5.492230889999998E-2</v>
      </c>
      <c r="S95" s="7">
        <v>6.4766783699999997E-2</v>
      </c>
      <c r="T95" s="7">
        <v>7.4780416500000016E-2</v>
      </c>
      <c r="U95" s="7">
        <v>7.7408122999999995E-2</v>
      </c>
      <c r="V95" s="7">
        <v>9.0121755599999992E-2</v>
      </c>
      <c r="W95" s="7">
        <v>9.1639633200000001E-2</v>
      </c>
      <c r="X95" s="7">
        <v>8.6557483700000007E-2</v>
      </c>
      <c r="Y95" s="7">
        <v>9.9418945299999992E-2</v>
      </c>
      <c r="Z95" s="7">
        <v>9.4005079300000002E-2</v>
      </c>
      <c r="AA95" s="7">
        <v>9.0218067200000002E-2</v>
      </c>
      <c r="AB95" s="7"/>
      <c r="AC95" s="9">
        <f t="shared" si="8"/>
        <v>9.0218067200000002E-2</v>
      </c>
      <c r="AD95" s="10" t="str">
        <f t="shared" si="9"/>
        <v>2023</v>
      </c>
      <c r="AE95" s="9">
        <f t="shared" si="10"/>
        <v>9.2367841740000012E-2</v>
      </c>
      <c r="AF95" s="9">
        <f t="shared" si="11"/>
        <v>5.9781932799999993E-2</v>
      </c>
    </row>
    <row r="96" spans="1:32" x14ac:dyDescent="0.2">
      <c r="A96" s="6" t="s">
        <v>104</v>
      </c>
      <c r="B96" s="6" t="s">
        <v>105</v>
      </c>
      <c r="C96" s="6"/>
      <c r="D96" s="7">
        <v>7.06400633E-2</v>
      </c>
      <c r="E96" s="7">
        <v>7.1314992900000027E-2</v>
      </c>
      <c r="F96" s="7">
        <v>7.5632910700000014E-2</v>
      </c>
      <c r="G96" s="7">
        <v>8.0725297900000006E-2</v>
      </c>
      <c r="H96" s="7">
        <v>8.2125959400000018E-2</v>
      </c>
      <c r="I96" s="7">
        <v>0.13069867130000001</v>
      </c>
      <c r="J96" s="7">
        <v>0.1445895767</v>
      </c>
      <c r="K96" s="7">
        <v>0.1042505074</v>
      </c>
      <c r="L96" s="7">
        <v>0.10385349269999999</v>
      </c>
      <c r="M96" s="7">
        <v>0.106962328</v>
      </c>
      <c r="N96" s="7">
        <v>9.2036390300000021E-2</v>
      </c>
      <c r="O96" s="7">
        <v>9.8833131800000015E-2</v>
      </c>
      <c r="P96" s="7">
        <v>0.10400711059999999</v>
      </c>
      <c r="Q96" s="7">
        <v>0.1034640503</v>
      </c>
      <c r="R96" s="7">
        <v>7.1389055300000004E-2</v>
      </c>
      <c r="S96" s="7">
        <v>7.1201858500000006E-2</v>
      </c>
      <c r="T96" s="7">
        <v>6.415807720000001E-2</v>
      </c>
      <c r="U96" s="7">
        <v>6.3416132899999991E-2</v>
      </c>
      <c r="V96" s="7">
        <v>7.3343763400000012E-2</v>
      </c>
      <c r="W96" s="7">
        <v>7.0939359699999996E-2</v>
      </c>
      <c r="X96" s="7">
        <v>6.9168786999999995E-2</v>
      </c>
      <c r="Y96" s="7">
        <v>9.2234439799999984E-2</v>
      </c>
      <c r="Z96" s="7">
        <v>7.5484380700000006E-2</v>
      </c>
      <c r="AA96" s="7">
        <v>7.3012633299999991E-2</v>
      </c>
      <c r="AB96" s="7"/>
      <c r="AC96" s="9">
        <f t="shared" si="8"/>
        <v>7.3012633299999991E-2</v>
      </c>
      <c r="AD96" s="10" t="str">
        <f t="shared" si="9"/>
        <v>2023</v>
      </c>
      <c r="AE96" s="9">
        <f t="shared" si="10"/>
        <v>7.6167920099999994E-2</v>
      </c>
      <c r="AF96" s="9">
        <f t="shared" si="11"/>
        <v>7.6987366700000004E-2</v>
      </c>
    </row>
    <row r="97" spans="1:32" x14ac:dyDescent="0.2">
      <c r="A97" s="6" t="s">
        <v>106</v>
      </c>
      <c r="B97" s="6" t="s">
        <v>107</v>
      </c>
      <c r="C97" s="6"/>
      <c r="D97" s="7">
        <v>6.1991443600000001E-2</v>
      </c>
      <c r="E97" s="7">
        <v>7.0550289200000005E-2</v>
      </c>
      <c r="F97" s="7">
        <v>6.12984419E-2</v>
      </c>
      <c r="G97" s="7">
        <v>6.8348050099999988E-2</v>
      </c>
      <c r="H97" s="7">
        <v>5.853271010000001E-2</v>
      </c>
      <c r="I97" s="7">
        <v>5.9141712200000009E-2</v>
      </c>
      <c r="J97" s="7">
        <v>4.3634643600000002E-2</v>
      </c>
      <c r="K97" s="7">
        <v>3.9029948699999997E-2</v>
      </c>
      <c r="L97" s="7">
        <v>3.1974592199999999E-2</v>
      </c>
      <c r="M97" s="7">
        <v>5.7037658700000007E-2</v>
      </c>
      <c r="N97" s="7">
        <v>2.6945555199999999E-2</v>
      </c>
      <c r="O97" s="7">
        <v>1.8174867600000009E-2</v>
      </c>
      <c r="P97" s="7">
        <v>1.7665905999999999E-2</v>
      </c>
      <c r="Q97" s="7">
        <v>2.9400711100000001E-2</v>
      </c>
      <c r="R97" s="7">
        <v>2.7363533999999991E-2</v>
      </c>
      <c r="S97" s="7">
        <v>3.3508019400000012E-2</v>
      </c>
      <c r="T97" s="7">
        <v>3.6279940599999998E-2</v>
      </c>
      <c r="U97" s="7">
        <v>4.0769591299999998E-2</v>
      </c>
      <c r="V97" s="7">
        <v>4.1973304700000012E-2</v>
      </c>
      <c r="W97" s="7">
        <v>5.1632490200000013E-2</v>
      </c>
      <c r="X97" s="7">
        <v>4.3148298300000013E-2</v>
      </c>
      <c r="Y97" s="7">
        <v>4.5797653200000003E-2</v>
      </c>
      <c r="Z97" s="7">
        <v>4.2535505299999998E-2</v>
      </c>
      <c r="AA97" s="7">
        <v>3.2051065000000011E-2</v>
      </c>
      <c r="AB97" s="7"/>
      <c r="AC97" s="9">
        <f t="shared" si="8"/>
        <v>3.2051065000000011E-2</v>
      </c>
      <c r="AD97" s="10" t="str">
        <f t="shared" si="9"/>
        <v>2023</v>
      </c>
      <c r="AE97" s="9">
        <f t="shared" si="10"/>
        <v>4.3033002400000006E-2</v>
      </c>
      <c r="AF97" s="9">
        <f t="shared" si="11"/>
        <v>0.11794893499999998</v>
      </c>
    </row>
    <row r="98" spans="1:32" x14ac:dyDescent="0.2">
      <c r="A98" s="6" t="s">
        <v>293</v>
      </c>
      <c r="B98" s="6" t="s">
        <v>294</v>
      </c>
      <c r="C98" s="6"/>
      <c r="D98" s="7">
        <v>7.4288907099999996E-2</v>
      </c>
      <c r="E98" s="7">
        <v>8.1107721300000005E-2</v>
      </c>
      <c r="F98" s="7">
        <v>8.1623735400000008E-2</v>
      </c>
      <c r="G98" s="7">
        <v>8.0821371099999997E-2</v>
      </c>
      <c r="H98" s="7">
        <v>9.9400691999999999E-2</v>
      </c>
      <c r="I98" s="7">
        <v>9.3369302700000004E-2</v>
      </c>
      <c r="J98" s="7">
        <v>9.6225776700000015E-2</v>
      </c>
      <c r="K98" s="7">
        <v>9.7152071000000007E-2</v>
      </c>
      <c r="L98" s="7">
        <v>8.7995653199999996E-2</v>
      </c>
      <c r="M98" s="7">
        <v>8.0612297100000008E-2</v>
      </c>
      <c r="N98" s="7">
        <v>7.9929318400000018E-2</v>
      </c>
      <c r="O98" s="7">
        <v>8.57539368E-2</v>
      </c>
      <c r="P98" s="7">
        <v>8.4060354200000006E-2</v>
      </c>
      <c r="Q98" s="7">
        <v>8.42068386E-2</v>
      </c>
      <c r="R98" s="7">
        <v>8.3754768400000013E-2</v>
      </c>
      <c r="S98" s="7">
        <v>8.5845498999999992E-2</v>
      </c>
      <c r="T98" s="7">
        <v>9.1327562300000012E-2</v>
      </c>
      <c r="U98" s="7">
        <v>8.9402704200000016E-2</v>
      </c>
      <c r="V98" s="7">
        <v>9.4036092800000012E-2</v>
      </c>
      <c r="W98" s="7">
        <v>0.1035906219</v>
      </c>
      <c r="X98" s="7">
        <v>0.1075947285</v>
      </c>
      <c r="Y98" s="7">
        <v>0.14021642679999999</v>
      </c>
      <c r="Z98" s="7">
        <v>0.11862193109999999</v>
      </c>
      <c r="AA98" s="7">
        <v>9.9123182300000001E-2</v>
      </c>
      <c r="AB98" s="7"/>
      <c r="AC98" s="9">
        <f t="shared" si="8"/>
        <v>9.9123182300000001E-2</v>
      </c>
      <c r="AD98" s="10" t="str">
        <f t="shared" si="9"/>
        <v>2023</v>
      </c>
      <c r="AE98" s="9">
        <f t="shared" si="10"/>
        <v>0.11382937811999998</v>
      </c>
      <c r="AF98" s="9">
        <f t="shared" si="11"/>
        <v>5.0876817699999993E-2</v>
      </c>
    </row>
    <row r="99" spans="1:32" x14ac:dyDescent="0.2">
      <c r="A99" s="6" t="s">
        <v>295</v>
      </c>
      <c r="B99" s="6" t="s">
        <v>296</v>
      </c>
      <c r="C99" s="6"/>
      <c r="D99" s="7">
        <v>7.5372147599999995E-2</v>
      </c>
      <c r="E99" s="7">
        <v>8.8697366700000002E-2</v>
      </c>
      <c r="F99" s="7">
        <v>8.2918729800000007E-2</v>
      </c>
      <c r="G99" s="7">
        <v>8.0704135900000015E-2</v>
      </c>
      <c r="H99" s="7">
        <v>8.9179630299999993E-2</v>
      </c>
      <c r="I99" s="7">
        <v>9.2279872900000018E-2</v>
      </c>
      <c r="J99" s="7">
        <v>9.8293390299999978E-2</v>
      </c>
      <c r="K99" s="7">
        <v>9.9821758299999994E-2</v>
      </c>
      <c r="L99" s="7">
        <v>8.9598197899999996E-2</v>
      </c>
      <c r="M99" s="7">
        <v>8.3423948299999995E-2</v>
      </c>
      <c r="N99" s="7">
        <v>0.10285932540000001</v>
      </c>
      <c r="O99" s="7">
        <v>0.1240328121</v>
      </c>
      <c r="P99" s="7">
        <v>0.1007938385</v>
      </c>
      <c r="Q99" s="7">
        <v>0.1079288769</v>
      </c>
      <c r="R99" s="7">
        <v>0.1238764</v>
      </c>
      <c r="S99" s="7">
        <v>0.12660042760000001</v>
      </c>
      <c r="T99" s="7">
        <v>0.13169961929999999</v>
      </c>
      <c r="U99" s="7">
        <v>0.12027192120000001</v>
      </c>
      <c r="V99" s="7">
        <v>0.1166725445</v>
      </c>
      <c r="W99" s="7">
        <v>0.1368380451</v>
      </c>
      <c r="X99" s="7">
        <v>0.14470897669999999</v>
      </c>
      <c r="Y99" s="7">
        <v>0.1156579113</v>
      </c>
      <c r="Z99" s="7">
        <v>0.1246416092</v>
      </c>
      <c r="AA99" s="7">
        <v>0.1590552902</v>
      </c>
      <c r="AB99" s="7"/>
      <c r="AC99" s="9">
        <f t="shared" si="8"/>
        <v>0.1590552902</v>
      </c>
      <c r="AD99" s="10" t="str">
        <f t="shared" si="9"/>
        <v>2023</v>
      </c>
      <c r="AE99" s="9">
        <f t="shared" si="10"/>
        <v>0.13618036650000001</v>
      </c>
      <c r="AF99" s="9">
        <f t="shared" si="11"/>
        <v>0</v>
      </c>
    </row>
    <row r="100" spans="1:32" x14ac:dyDescent="0.2">
      <c r="A100" s="6" t="s">
        <v>108</v>
      </c>
      <c r="B100" s="6" t="s">
        <v>109</v>
      </c>
      <c r="C100" s="6" t="s">
        <v>49</v>
      </c>
      <c r="D100" s="7">
        <v>7.4074072799999988E-2</v>
      </c>
      <c r="E100" s="7">
        <v>8.7013416299999979E-2</v>
      </c>
      <c r="F100" s="7">
        <v>7.7236957600000003E-2</v>
      </c>
      <c r="G100" s="7">
        <v>7.9082698800000004E-2</v>
      </c>
      <c r="H100" s="7">
        <v>8.25498962E-2</v>
      </c>
      <c r="I100" s="7">
        <v>5.99692535E-2</v>
      </c>
      <c r="J100" s="7">
        <v>7.0538449300000014E-2</v>
      </c>
      <c r="K100" s="7">
        <v>9.6424684499999996E-2</v>
      </c>
      <c r="L100" s="7">
        <v>8.0810174900000031E-2</v>
      </c>
      <c r="M100" s="7">
        <v>7.3227448500000014E-2</v>
      </c>
      <c r="N100" s="7">
        <v>7.1979927999999999E-2</v>
      </c>
      <c r="O100" s="7">
        <v>8.1988744700000019E-2</v>
      </c>
      <c r="P100" s="7">
        <v>9.6743116400000023E-2</v>
      </c>
      <c r="Q100" s="7">
        <v>0.1048774624</v>
      </c>
      <c r="R100" s="7">
        <v>0.11592402459999999</v>
      </c>
      <c r="S100" s="7">
        <v>0.10860278130000001</v>
      </c>
      <c r="T100" s="7">
        <v>0.1033607674</v>
      </c>
      <c r="U100" s="7">
        <v>0.1197283363</v>
      </c>
      <c r="V100" s="7">
        <v>0.1077791023</v>
      </c>
      <c r="W100" s="7">
        <v>0.12610546110000001</v>
      </c>
      <c r="X100" s="7">
        <v>8.949593539999999E-2</v>
      </c>
      <c r="Y100" s="7">
        <v>8.1524248099999988E-2</v>
      </c>
      <c r="Z100" s="7">
        <v>0.12883148189999999</v>
      </c>
      <c r="AA100" s="7">
        <v>0.11833222390000001</v>
      </c>
      <c r="AB100" s="7"/>
      <c r="AC100" s="9">
        <f t="shared" si="8"/>
        <v>0.11833222390000001</v>
      </c>
      <c r="AD100" s="10" t="str">
        <f t="shared" si="9"/>
        <v>2023</v>
      </c>
      <c r="AE100" s="9">
        <f t="shared" si="10"/>
        <v>0.10885787007999999</v>
      </c>
      <c r="AF100" s="9">
        <f t="shared" si="11"/>
        <v>3.1667776099999989E-2</v>
      </c>
    </row>
    <row r="101" spans="1:32" x14ac:dyDescent="0.2">
      <c r="A101" s="6" t="s">
        <v>110</v>
      </c>
      <c r="B101" s="6" t="s">
        <v>111</v>
      </c>
      <c r="C101" s="6" t="s">
        <v>49</v>
      </c>
      <c r="D101" s="7">
        <v>4.2549176199999997E-2</v>
      </c>
      <c r="E101" s="8">
        <v>4.2549176199999997E-2</v>
      </c>
      <c r="F101" s="8">
        <v>4.2549176199999997E-2</v>
      </c>
      <c r="G101" s="8">
        <v>4.2549176199999997E-2</v>
      </c>
      <c r="H101" s="8">
        <v>4.2549176199999997E-2</v>
      </c>
      <c r="I101" s="8">
        <v>4.2549176199999997E-2</v>
      </c>
      <c r="J101" s="8">
        <v>4.2549176199999997E-2</v>
      </c>
      <c r="K101" s="8">
        <v>4.2549176199999997E-2</v>
      </c>
      <c r="L101" s="8">
        <v>4.2549176199999997E-2</v>
      </c>
      <c r="M101" s="7">
        <v>5.0466022499999992E-2</v>
      </c>
      <c r="N101" s="8">
        <v>5.0466022499999992E-2</v>
      </c>
      <c r="O101" s="8">
        <v>5.0466022499999992E-2</v>
      </c>
      <c r="P101" s="8">
        <v>5.0466022499999992E-2</v>
      </c>
      <c r="Q101" s="7">
        <v>1.1572529099999999E-2</v>
      </c>
      <c r="R101" s="7">
        <v>2.4611892699999999E-2</v>
      </c>
      <c r="S101" s="7">
        <v>3.2433903200000003E-2</v>
      </c>
      <c r="T101" s="7">
        <v>3.8970165299999998E-2</v>
      </c>
      <c r="U101" s="7">
        <v>3.9551458399999989E-2</v>
      </c>
      <c r="V101" s="7">
        <v>5.1662292499999991E-2</v>
      </c>
      <c r="W101" s="7">
        <v>4.1983461399999998E-2</v>
      </c>
      <c r="X101" s="7">
        <v>3.7481868299999992E-2</v>
      </c>
      <c r="Y101" s="7">
        <v>3.7302012399999987E-2</v>
      </c>
      <c r="Z101" s="7">
        <v>4.7911715499999993E-2</v>
      </c>
      <c r="AA101" s="8">
        <v>4.7911715499999993E-2</v>
      </c>
      <c r="AB101" s="7"/>
      <c r="AC101" s="9">
        <f t="shared" ref="AC101:AC132" si="12">LOOKUP(9.99E+307,D101:AB101)</f>
        <v>4.7911715499999993E-2</v>
      </c>
      <c r="AD101" s="10" t="str">
        <f t="shared" ref="AD101:AD132" si="13">LOOKUP(9.99E+307,D101:AB101,D$4:AB$4)</f>
        <v>2023</v>
      </c>
      <c r="AE101" s="9">
        <f t="shared" ref="AE101:AE132" si="14">IFERROR(AVERAGE(W101:AB101),"")</f>
        <v>4.2518154619999991E-2</v>
      </c>
      <c r="AF101" s="9">
        <f t="shared" ref="AF101:AF132" si="15">MAX(0,$B$2-AC101)</f>
        <v>0.1020882845</v>
      </c>
    </row>
    <row r="102" spans="1:32" x14ac:dyDescent="0.2">
      <c r="A102" s="6" t="s">
        <v>112</v>
      </c>
      <c r="B102" s="6" t="s">
        <v>113</v>
      </c>
      <c r="C102" s="6"/>
      <c r="D102" s="7">
        <v>6.0398206699999998E-2</v>
      </c>
      <c r="E102" s="7">
        <v>5.7829866399999999E-2</v>
      </c>
      <c r="F102" s="7">
        <v>7.75643206E-2</v>
      </c>
      <c r="G102" s="7">
        <v>6.308599949999999E-2</v>
      </c>
      <c r="H102" s="7">
        <v>5.4211988399999987E-2</v>
      </c>
      <c r="I102" s="7">
        <v>5.7806248699999993E-2</v>
      </c>
      <c r="J102" s="7">
        <v>5.2754869500000003E-2</v>
      </c>
      <c r="K102" s="7">
        <v>4.8129820799999987E-2</v>
      </c>
      <c r="L102" s="7">
        <v>3.7007906399999978E-2</v>
      </c>
      <c r="M102" s="7">
        <v>4.0890393299999987E-2</v>
      </c>
      <c r="N102" s="7">
        <v>4.3341274300000003E-2</v>
      </c>
      <c r="O102" s="7">
        <v>6.4195838000000005E-2</v>
      </c>
      <c r="P102" s="7">
        <v>7.4125747700000008E-2</v>
      </c>
      <c r="Q102" s="7">
        <v>4.9712419500000007E-2</v>
      </c>
      <c r="R102" s="7">
        <v>5.71347761E-2</v>
      </c>
      <c r="S102" s="7">
        <v>7.5143165600000006E-2</v>
      </c>
      <c r="T102" s="7">
        <v>9.9081020400000011E-2</v>
      </c>
      <c r="U102" s="7">
        <v>8.8626747099999986E-2</v>
      </c>
      <c r="V102" s="7">
        <v>9.2703323399999996E-2</v>
      </c>
      <c r="W102" s="7">
        <v>8.3604936599999999E-2</v>
      </c>
      <c r="X102" s="7">
        <v>9.743197440000001E-2</v>
      </c>
      <c r="Y102" s="7">
        <v>6.9114699400000007E-2</v>
      </c>
      <c r="Z102" s="7">
        <v>5.0627131500000012E-2</v>
      </c>
      <c r="AA102" s="7">
        <v>9.57147312E-2</v>
      </c>
      <c r="AB102" s="7"/>
      <c r="AC102" s="9">
        <f t="shared" si="12"/>
        <v>9.57147312E-2</v>
      </c>
      <c r="AD102" s="10" t="str">
        <f t="shared" si="13"/>
        <v>2023</v>
      </c>
      <c r="AE102" s="9">
        <f t="shared" si="14"/>
        <v>7.9298694620000013E-2</v>
      </c>
      <c r="AF102" s="9">
        <f t="shared" si="15"/>
        <v>5.4285268799999994E-2</v>
      </c>
    </row>
    <row r="103" spans="1:32" x14ac:dyDescent="0.2">
      <c r="A103" s="6" t="s">
        <v>297</v>
      </c>
      <c r="B103" s="6" t="s">
        <v>298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>
        <v>0.1419408512</v>
      </c>
      <c r="R103" s="7">
        <v>0.1512281895</v>
      </c>
      <c r="S103" s="7">
        <v>0.15558142659999999</v>
      </c>
      <c r="T103" s="7">
        <v>0.1564656925</v>
      </c>
      <c r="U103" s="7">
        <v>0.1501721859</v>
      </c>
      <c r="V103" s="7">
        <v>0.14911198619999999</v>
      </c>
      <c r="W103" s="7">
        <v>0.15295453070000001</v>
      </c>
      <c r="X103" s="7">
        <v>0.13269868849999999</v>
      </c>
      <c r="Y103" s="7">
        <v>0.1592355442</v>
      </c>
      <c r="Z103" s="7">
        <v>0.15896936419999999</v>
      </c>
      <c r="AA103" s="7">
        <v>0.15853006359999999</v>
      </c>
      <c r="AB103" s="7"/>
      <c r="AC103" s="9">
        <f t="shared" si="12"/>
        <v>0.15853006359999999</v>
      </c>
      <c r="AD103" s="10" t="str">
        <f t="shared" si="13"/>
        <v>2023</v>
      </c>
      <c r="AE103" s="9">
        <f t="shared" si="14"/>
        <v>0.15247763823999999</v>
      </c>
      <c r="AF103" s="9">
        <f t="shared" si="15"/>
        <v>0</v>
      </c>
    </row>
    <row r="104" spans="1:32" x14ac:dyDescent="0.2">
      <c r="A104" s="6" t="s">
        <v>299</v>
      </c>
      <c r="B104" s="6" t="s">
        <v>300</v>
      </c>
      <c r="C104" s="6"/>
      <c r="D104" s="7">
        <v>0.1057103539</v>
      </c>
      <c r="E104" s="7">
        <v>0.1136786652</v>
      </c>
      <c r="F104" s="7">
        <v>0.12712833400000001</v>
      </c>
      <c r="G104" s="7">
        <v>0.1367591095</v>
      </c>
      <c r="H104" s="7">
        <v>0.1013123989</v>
      </c>
      <c r="I104" s="7">
        <v>0.1004997158</v>
      </c>
      <c r="J104" s="7">
        <v>0.1062221146</v>
      </c>
      <c r="K104" s="7">
        <v>0.1075255203</v>
      </c>
      <c r="L104" s="7">
        <v>0.11673879619999999</v>
      </c>
      <c r="M104" s="7">
        <v>0.1177774429</v>
      </c>
      <c r="N104" s="7">
        <v>0.114114542</v>
      </c>
      <c r="O104" s="7">
        <v>0.1147901821</v>
      </c>
      <c r="P104" s="7">
        <v>0.1148004436</v>
      </c>
      <c r="Q104" s="7">
        <v>0.11297272680000001</v>
      </c>
      <c r="R104" s="7">
        <v>0.1183360958</v>
      </c>
      <c r="S104" s="7">
        <v>0.121546669</v>
      </c>
      <c r="T104" s="7">
        <v>0.12685909270000001</v>
      </c>
      <c r="U104" s="7">
        <v>0.12643122670000001</v>
      </c>
      <c r="V104" s="7">
        <v>0.126340704</v>
      </c>
      <c r="W104" s="7">
        <v>0.13048165319999999</v>
      </c>
      <c r="X104" s="7">
        <v>0.12030652999999999</v>
      </c>
      <c r="Y104" s="7">
        <v>0.1396434402</v>
      </c>
      <c r="Z104" s="7">
        <v>0.13057191849999999</v>
      </c>
      <c r="AA104" s="7">
        <v>0.12733353610000001</v>
      </c>
      <c r="AB104" s="7"/>
      <c r="AC104" s="9">
        <f t="shared" si="12"/>
        <v>0.12733353610000001</v>
      </c>
      <c r="AD104" s="10" t="str">
        <f t="shared" si="13"/>
        <v>2023</v>
      </c>
      <c r="AE104" s="9">
        <f t="shared" si="14"/>
        <v>0.12966741559999997</v>
      </c>
      <c r="AF104" s="9">
        <f t="shared" si="15"/>
        <v>2.2666463899999989E-2</v>
      </c>
    </row>
    <row r="105" spans="1:32" x14ac:dyDescent="0.2">
      <c r="A105" s="6" t="s">
        <v>301</v>
      </c>
      <c r="B105" s="6" t="s">
        <v>302</v>
      </c>
      <c r="C105" s="6"/>
      <c r="D105" s="7">
        <v>0.12987872119999999</v>
      </c>
      <c r="E105" s="7">
        <v>0.14059653280000001</v>
      </c>
      <c r="F105" s="7">
        <v>0.1358975124</v>
      </c>
      <c r="G105" s="7">
        <v>0.13467359540000001</v>
      </c>
      <c r="H105" s="7">
        <v>0.1408533478</v>
      </c>
      <c r="I105" s="7">
        <v>0.13798570630000001</v>
      </c>
      <c r="J105" s="7">
        <v>0.1411738968</v>
      </c>
      <c r="K105" s="7">
        <v>0.14061712270000001</v>
      </c>
      <c r="L105" s="7">
        <v>0.1440140057</v>
      </c>
      <c r="M105" s="7">
        <v>0.14116131779999999</v>
      </c>
      <c r="N105" s="7">
        <v>0.1362410641</v>
      </c>
      <c r="O105" s="7">
        <v>0.1196399975</v>
      </c>
      <c r="P105" s="7">
        <v>0.1058925629</v>
      </c>
      <c r="Q105" s="7">
        <v>0.1064737415</v>
      </c>
      <c r="R105" s="7">
        <v>0.10853742600000001</v>
      </c>
      <c r="S105" s="7">
        <v>0.1063425922</v>
      </c>
      <c r="T105" s="7">
        <v>0.1069193459</v>
      </c>
      <c r="U105" s="7">
        <v>0.10547755239999999</v>
      </c>
      <c r="V105" s="7">
        <v>0.1058269215</v>
      </c>
      <c r="W105" s="7">
        <v>0.1089836788</v>
      </c>
      <c r="X105" s="7">
        <v>0.10710371019999999</v>
      </c>
      <c r="Y105" s="7">
        <v>0.11511126519999999</v>
      </c>
      <c r="Z105" s="7">
        <v>0.1102347088</v>
      </c>
      <c r="AA105" s="7">
        <v>0.10441707610000001</v>
      </c>
      <c r="AB105" s="7">
        <v>0.1091682053</v>
      </c>
      <c r="AC105" s="9">
        <f t="shared" si="12"/>
        <v>0.1091682053</v>
      </c>
      <c r="AD105" s="10" t="str">
        <f t="shared" si="13"/>
        <v>2024</v>
      </c>
      <c r="AE105" s="9">
        <f t="shared" si="14"/>
        <v>0.10916977406666668</v>
      </c>
      <c r="AF105" s="9">
        <f t="shared" si="15"/>
        <v>4.0831794699999993E-2</v>
      </c>
    </row>
    <row r="106" spans="1:32" x14ac:dyDescent="0.2">
      <c r="A106" s="6" t="s">
        <v>114</v>
      </c>
      <c r="B106" s="6" t="s">
        <v>115</v>
      </c>
      <c r="C106" s="6" t="s">
        <v>49</v>
      </c>
      <c r="D106" s="7">
        <v>0.1202784538</v>
      </c>
      <c r="E106" s="7">
        <v>0.11971966739999999</v>
      </c>
      <c r="F106" s="7">
        <v>0.140413332</v>
      </c>
      <c r="G106" s="7">
        <v>0.13117821690000001</v>
      </c>
      <c r="H106" s="7">
        <v>0.10014784810000001</v>
      </c>
      <c r="I106" s="7">
        <v>0.1054040527</v>
      </c>
      <c r="J106" s="7">
        <v>0.1024768925</v>
      </c>
      <c r="K106" s="7">
        <v>0.1183832264</v>
      </c>
      <c r="L106" s="7">
        <v>8.9767837499999989E-2</v>
      </c>
      <c r="M106" s="7">
        <v>0.10439493179999999</v>
      </c>
      <c r="N106" s="7">
        <v>0.15209796910000001</v>
      </c>
      <c r="O106" s="7">
        <v>0.13936785700000001</v>
      </c>
      <c r="P106" s="7">
        <v>0.12936995509999999</v>
      </c>
      <c r="Q106" s="7">
        <v>0.1026806545</v>
      </c>
      <c r="R106" s="7">
        <v>0.1392414951</v>
      </c>
      <c r="S106" s="7">
        <v>0.15274279590000001</v>
      </c>
      <c r="T106" s="7">
        <v>0.17510868069999999</v>
      </c>
      <c r="U106" s="7">
        <v>0.15032087329999999</v>
      </c>
      <c r="V106" s="7">
        <v>0.10429566379999999</v>
      </c>
      <c r="W106" s="7">
        <v>4.44415092E-2</v>
      </c>
      <c r="X106" s="7">
        <v>4.21817684E-2</v>
      </c>
      <c r="Y106" s="7">
        <v>5.3777942699999998E-2</v>
      </c>
      <c r="Z106" s="7">
        <v>5.5134177200000023E-2</v>
      </c>
      <c r="AA106" s="8">
        <v>5.5134177200000023E-2</v>
      </c>
      <c r="AB106" s="7"/>
      <c r="AC106" s="9">
        <f t="shared" si="12"/>
        <v>5.5134177200000023E-2</v>
      </c>
      <c r="AD106" s="10" t="str">
        <f t="shared" si="13"/>
        <v>2023</v>
      </c>
      <c r="AE106" s="9">
        <f t="shared" si="14"/>
        <v>5.013391494000001E-2</v>
      </c>
      <c r="AF106" s="9">
        <f t="shared" si="15"/>
        <v>9.4865822799999971E-2</v>
      </c>
    </row>
    <row r="107" spans="1:32" x14ac:dyDescent="0.2">
      <c r="A107" s="6" t="s">
        <v>116</v>
      </c>
      <c r="B107" s="6" t="s">
        <v>117</v>
      </c>
      <c r="C107" s="6" t="s">
        <v>49</v>
      </c>
      <c r="D107" s="7">
        <v>7.042603489999999E-2</v>
      </c>
      <c r="E107" s="8">
        <v>7.042603489999999E-2</v>
      </c>
      <c r="F107" s="8">
        <v>7.042603489999999E-2</v>
      </c>
      <c r="G107" s="7">
        <v>7.633512499999999E-2</v>
      </c>
      <c r="H107" s="7">
        <v>4.9951510400000003E-2</v>
      </c>
      <c r="I107" s="7">
        <v>6.0378303499999987E-2</v>
      </c>
      <c r="J107" s="7">
        <v>5.2927179300000002E-2</v>
      </c>
      <c r="K107" s="7">
        <v>3.5445971499999999E-2</v>
      </c>
      <c r="L107" s="7">
        <v>6.6249685299999986E-2</v>
      </c>
      <c r="M107" s="7">
        <v>5.2324380900000002E-2</v>
      </c>
      <c r="N107" s="7">
        <v>5.7746429399999993E-2</v>
      </c>
      <c r="O107" s="7">
        <v>6.7799968699999991E-2</v>
      </c>
      <c r="P107" s="7">
        <v>5.0962386100000007E-2</v>
      </c>
      <c r="Q107" s="7">
        <v>7.1556725500000001E-2</v>
      </c>
      <c r="R107" s="7">
        <v>8.580904960000002E-2</v>
      </c>
      <c r="S107" s="7">
        <v>9.7289199800000004E-2</v>
      </c>
      <c r="T107" s="7">
        <v>9.6779670700000014E-2</v>
      </c>
      <c r="U107" s="7">
        <v>8.1896133400000015E-2</v>
      </c>
      <c r="V107" s="7">
        <v>8.7133112000000013E-2</v>
      </c>
      <c r="W107" s="7">
        <v>7.9386005400000015E-2</v>
      </c>
      <c r="X107" s="7">
        <v>6.8733200999999994E-2</v>
      </c>
      <c r="Y107" s="7">
        <v>5.7563810299999983E-2</v>
      </c>
      <c r="Z107" s="7">
        <v>3.2871100899999998E-2</v>
      </c>
      <c r="AA107" s="8">
        <v>3.2871100899999998E-2</v>
      </c>
      <c r="AB107" s="7"/>
      <c r="AC107" s="9">
        <f t="shared" si="12"/>
        <v>3.2871100899999998E-2</v>
      </c>
      <c r="AD107" s="10" t="str">
        <f t="shared" si="13"/>
        <v>2023</v>
      </c>
      <c r="AE107" s="9">
        <f t="shared" si="14"/>
        <v>5.4285043700000001E-2</v>
      </c>
      <c r="AF107" s="9">
        <f t="shared" si="15"/>
        <v>0.11712889909999999</v>
      </c>
    </row>
    <row r="108" spans="1:32" x14ac:dyDescent="0.2">
      <c r="A108" s="6" t="s">
        <v>303</v>
      </c>
      <c r="B108" s="6" t="s">
        <v>304</v>
      </c>
      <c r="C108" s="6"/>
      <c r="D108" s="7">
        <v>4.5772690799999988E-2</v>
      </c>
      <c r="E108" s="7">
        <v>4.788320539999999E-2</v>
      </c>
      <c r="F108" s="7">
        <v>5.035281660000001E-2</v>
      </c>
      <c r="G108" s="7">
        <v>5.4110765499999998E-2</v>
      </c>
      <c r="H108" s="7">
        <v>5.6283822100000012E-2</v>
      </c>
      <c r="I108" s="7">
        <v>5.5539026300000002E-2</v>
      </c>
      <c r="J108" s="7">
        <v>6.5490736999999993E-2</v>
      </c>
      <c r="K108" s="7">
        <v>6.2760090800000015E-2</v>
      </c>
      <c r="L108" s="7">
        <v>5.9335212700000008E-2</v>
      </c>
      <c r="M108" s="7">
        <v>5.8650345799999989E-2</v>
      </c>
      <c r="N108" s="7">
        <v>6.3113641699999987E-2</v>
      </c>
      <c r="O108" s="7">
        <v>6.5151896500000014E-2</v>
      </c>
      <c r="P108" s="7">
        <v>6.5421767200000008E-2</v>
      </c>
      <c r="Q108" s="7">
        <v>6.8163185099999996E-2</v>
      </c>
      <c r="R108" s="7">
        <v>7.8240251499999997E-2</v>
      </c>
      <c r="S108" s="7">
        <v>8.2299528099999991E-2</v>
      </c>
      <c r="T108" s="7">
        <v>8.2628812799999979E-2</v>
      </c>
      <c r="U108" s="7">
        <v>8.7201471299999986E-2</v>
      </c>
      <c r="V108" s="7">
        <v>8.4516687400000012E-2</v>
      </c>
      <c r="W108" s="7">
        <v>8.5242795900000001E-2</v>
      </c>
      <c r="X108" s="7">
        <v>8.6899538000000012E-2</v>
      </c>
      <c r="Y108" s="7">
        <v>0.10056884770000001</v>
      </c>
      <c r="Z108" s="7">
        <v>8.0028305099999988E-2</v>
      </c>
      <c r="AA108" s="7">
        <v>7.9430184400000006E-2</v>
      </c>
      <c r="AB108" s="7"/>
      <c r="AC108" s="9">
        <f t="shared" si="12"/>
        <v>7.9430184400000006E-2</v>
      </c>
      <c r="AD108" s="10" t="str">
        <f t="shared" si="13"/>
        <v>2023</v>
      </c>
      <c r="AE108" s="9">
        <f t="shared" si="14"/>
        <v>8.6433934219999994E-2</v>
      </c>
      <c r="AF108" s="9">
        <f t="shared" si="15"/>
        <v>7.0569815599999988E-2</v>
      </c>
    </row>
    <row r="109" spans="1:32" x14ac:dyDescent="0.2">
      <c r="A109" s="6" t="s">
        <v>305</v>
      </c>
      <c r="B109" s="6" t="s">
        <v>306</v>
      </c>
      <c r="C109" s="6"/>
      <c r="D109" s="7">
        <v>8.8284673700000024E-2</v>
      </c>
      <c r="E109" s="7">
        <v>9.031593319999999E-2</v>
      </c>
      <c r="F109" s="7">
        <v>8.6192598299999992E-2</v>
      </c>
      <c r="G109" s="7">
        <v>8.1447076800000004E-2</v>
      </c>
      <c r="H109" s="7">
        <v>9.6030693099999981E-2</v>
      </c>
      <c r="I109" s="7">
        <v>7.6519479799999998E-2</v>
      </c>
      <c r="J109" s="7">
        <v>8.4460802099999996E-2</v>
      </c>
      <c r="K109" s="7">
        <v>0.112455492</v>
      </c>
      <c r="L109" s="7">
        <v>0.17986688610000001</v>
      </c>
      <c r="M109" s="7">
        <v>0.1574485779</v>
      </c>
      <c r="N109" s="7">
        <v>0.13543033600000001</v>
      </c>
      <c r="O109" s="7">
        <v>0.1176247597</v>
      </c>
      <c r="P109" s="7">
        <v>0.14140151979999999</v>
      </c>
      <c r="Q109" s="7">
        <v>0.1593077755</v>
      </c>
      <c r="R109" s="7">
        <v>0.16862930300000001</v>
      </c>
      <c r="S109" s="7">
        <v>0.18454265589999999</v>
      </c>
      <c r="T109" s="7">
        <v>0.19748092649999999</v>
      </c>
      <c r="U109" s="7">
        <v>0.2147161484</v>
      </c>
      <c r="V109" s="7">
        <v>0.17679086690000001</v>
      </c>
      <c r="W109" s="7">
        <v>0.1785394287</v>
      </c>
      <c r="X109" s="7">
        <v>0.1817274666</v>
      </c>
      <c r="Y109" s="7">
        <v>0.14486053469999999</v>
      </c>
      <c r="Z109" s="7">
        <v>0.13277081490000001</v>
      </c>
      <c r="AA109" s="7">
        <v>0.1556657696</v>
      </c>
      <c r="AB109" s="7"/>
      <c r="AC109" s="9">
        <f t="shared" si="12"/>
        <v>0.1556657696</v>
      </c>
      <c r="AD109" s="10" t="str">
        <f t="shared" si="13"/>
        <v>2023</v>
      </c>
      <c r="AE109" s="9">
        <f t="shared" si="14"/>
        <v>0.15871280289999998</v>
      </c>
      <c r="AF109" s="9">
        <f t="shared" si="15"/>
        <v>0</v>
      </c>
    </row>
    <row r="110" spans="1:32" x14ac:dyDescent="0.2">
      <c r="A110" s="6" t="s">
        <v>118</v>
      </c>
      <c r="B110" s="6" t="s">
        <v>119</v>
      </c>
      <c r="C110" s="6"/>
      <c r="D110" s="7">
        <v>6.668892860000003E-2</v>
      </c>
      <c r="E110" s="7">
        <v>5.746562479999999E-2</v>
      </c>
      <c r="F110" s="7">
        <v>5.5660767599999987E-2</v>
      </c>
      <c r="G110" s="7">
        <v>6.7859749799999994E-2</v>
      </c>
      <c r="H110" s="7">
        <v>7.3005456900000015E-2</v>
      </c>
      <c r="I110" s="7">
        <v>6.4582085600000005E-2</v>
      </c>
      <c r="J110" s="7">
        <v>5.5458898499999999E-2</v>
      </c>
      <c r="K110" s="7">
        <v>4.6381096799999993E-2</v>
      </c>
      <c r="L110" s="7">
        <v>3.7941119699999998E-2</v>
      </c>
      <c r="M110" s="7">
        <v>2.9260635399999999E-2</v>
      </c>
      <c r="N110" s="7">
        <v>3.3015408500000003E-2</v>
      </c>
      <c r="O110" s="7">
        <v>2.9412171800000001E-2</v>
      </c>
      <c r="P110" s="7">
        <v>2.66254306E-2</v>
      </c>
      <c r="Q110" s="7">
        <v>4.128911020000002E-2</v>
      </c>
      <c r="R110" s="7">
        <v>4.4547328900000009E-2</v>
      </c>
      <c r="S110" s="7">
        <v>4.3903341300000003E-2</v>
      </c>
      <c r="T110" s="7">
        <v>5.4306330700000009E-2</v>
      </c>
      <c r="U110" s="7">
        <v>5.1372628199999992E-2</v>
      </c>
      <c r="V110" s="7">
        <v>5.6687855699999998E-2</v>
      </c>
      <c r="W110" s="7">
        <v>4.835014339999999E-2</v>
      </c>
      <c r="X110" s="7">
        <v>5.37126255E-2</v>
      </c>
      <c r="Y110" s="7">
        <v>5.0374312399999989E-2</v>
      </c>
      <c r="Z110" s="7">
        <v>5.6016616800000002E-2</v>
      </c>
      <c r="AA110" s="7">
        <v>5.4313564299999978E-2</v>
      </c>
      <c r="AB110" s="7"/>
      <c r="AC110" s="9">
        <f t="shared" si="12"/>
        <v>5.4313564299999978E-2</v>
      </c>
      <c r="AD110" s="10" t="str">
        <f t="shared" si="13"/>
        <v>2023</v>
      </c>
      <c r="AE110" s="9">
        <f t="shared" si="14"/>
        <v>5.2553452479999985E-2</v>
      </c>
      <c r="AF110" s="9">
        <f t="shared" si="15"/>
        <v>9.5686435700000017E-2</v>
      </c>
    </row>
    <row r="111" spans="1:32" x14ac:dyDescent="0.2">
      <c r="A111" s="6" t="s">
        <v>307</v>
      </c>
      <c r="B111" s="6" t="s">
        <v>308</v>
      </c>
      <c r="C111" s="6"/>
      <c r="D111" s="7">
        <v>0.1178238678</v>
      </c>
      <c r="E111" s="7">
        <v>0.11582794189999999</v>
      </c>
      <c r="F111" s="7">
        <v>0.1311352539</v>
      </c>
      <c r="G111" s="7">
        <v>0.1225456047</v>
      </c>
      <c r="H111" s="7">
        <v>0.13367810250000001</v>
      </c>
      <c r="I111" s="7">
        <v>0.1410765648</v>
      </c>
      <c r="J111" s="7">
        <v>0.14261341089999999</v>
      </c>
      <c r="K111" s="7">
        <v>0.1328512573</v>
      </c>
      <c r="L111" s="7">
        <v>0.1202801418</v>
      </c>
      <c r="M111" s="7">
        <v>0.1244588757</v>
      </c>
      <c r="N111" s="7">
        <v>0.12730976099999999</v>
      </c>
      <c r="O111" s="7">
        <v>0.12918922420000001</v>
      </c>
      <c r="P111" s="7">
        <v>0.12989095689999999</v>
      </c>
      <c r="Q111" s="7">
        <v>0.13995457650000001</v>
      </c>
      <c r="R111" s="7">
        <v>0.13833276750000001</v>
      </c>
      <c r="S111" s="7">
        <v>0.139868679</v>
      </c>
      <c r="T111" s="7">
        <v>0.1546403217</v>
      </c>
      <c r="U111" s="7">
        <v>0.15988129619999999</v>
      </c>
      <c r="V111" s="7">
        <v>0.14936393740000001</v>
      </c>
      <c r="W111" s="7">
        <v>0.159362421</v>
      </c>
      <c r="X111" s="7">
        <v>0.1562209702</v>
      </c>
      <c r="Y111" s="7">
        <v>0.1626477623</v>
      </c>
      <c r="Z111" s="7">
        <v>0.16157268520000001</v>
      </c>
      <c r="AA111" s="7">
        <v>0.15905085560000001</v>
      </c>
      <c r="AB111" s="7"/>
      <c r="AC111" s="9">
        <f t="shared" si="12"/>
        <v>0.15905085560000001</v>
      </c>
      <c r="AD111" s="10" t="str">
        <f t="shared" si="13"/>
        <v>2023</v>
      </c>
      <c r="AE111" s="9">
        <f t="shared" si="14"/>
        <v>0.15977093885999999</v>
      </c>
      <c r="AF111" s="9">
        <f t="shared" si="15"/>
        <v>0</v>
      </c>
    </row>
    <row r="112" spans="1:32" x14ac:dyDescent="0.2">
      <c r="A112" s="6" t="s">
        <v>309</v>
      </c>
      <c r="B112" s="6" t="s">
        <v>310</v>
      </c>
      <c r="C112" s="6"/>
      <c r="D112" s="7">
        <v>0.14493987080000001</v>
      </c>
      <c r="E112" s="7">
        <v>0.1092781258</v>
      </c>
      <c r="F112" s="7">
        <v>0.1372637749</v>
      </c>
      <c r="G112" s="7">
        <v>0.15990213389999999</v>
      </c>
      <c r="H112" s="7">
        <v>0.1068084145</v>
      </c>
      <c r="I112" s="7">
        <v>6.4642143200000002E-2</v>
      </c>
      <c r="J112" s="7">
        <v>0.10611539840000001</v>
      </c>
      <c r="K112" s="7">
        <v>9.5631189300000002E-2</v>
      </c>
      <c r="L112" s="7">
        <v>9.3922204999999981E-2</v>
      </c>
      <c r="M112" s="7">
        <v>9.8549680699999975E-2</v>
      </c>
      <c r="N112" s="7">
        <v>8.1760826100000003E-2</v>
      </c>
      <c r="O112" s="7">
        <v>9.3036794700000008E-2</v>
      </c>
      <c r="P112" s="7">
        <v>0.10019767760000001</v>
      </c>
      <c r="Q112" s="7">
        <v>0.11063281060000001</v>
      </c>
      <c r="R112" s="7">
        <v>0.1018494606</v>
      </c>
      <c r="S112" s="7">
        <v>0.10757786749999999</v>
      </c>
      <c r="T112" s="7">
        <v>0.11369090079999999</v>
      </c>
      <c r="U112" s="7">
        <v>7.6857113800000001E-2</v>
      </c>
      <c r="V112" s="7">
        <v>0.1076629162</v>
      </c>
      <c r="W112" s="7">
        <v>0.1015070438</v>
      </c>
      <c r="X112" s="7">
        <v>7.7510929100000001E-2</v>
      </c>
      <c r="Y112" s="7">
        <v>7.4504628200000006E-2</v>
      </c>
      <c r="Z112" s="7">
        <v>8.6013135899999996E-2</v>
      </c>
      <c r="AA112" s="7">
        <v>0.15237169270000001</v>
      </c>
      <c r="AB112" s="7"/>
      <c r="AC112" s="9">
        <f t="shared" si="12"/>
        <v>0.15237169270000001</v>
      </c>
      <c r="AD112" s="10" t="str">
        <f t="shared" si="13"/>
        <v>2023</v>
      </c>
      <c r="AE112" s="9">
        <f t="shared" si="14"/>
        <v>9.8381485939999999E-2</v>
      </c>
      <c r="AF112" s="9">
        <f t="shared" si="15"/>
        <v>0</v>
      </c>
    </row>
    <row r="113" spans="1:32" x14ac:dyDescent="0.2">
      <c r="A113" s="6" t="s">
        <v>311</v>
      </c>
      <c r="B113" s="6" t="s">
        <v>312</v>
      </c>
      <c r="C113" s="6"/>
      <c r="D113" s="7">
        <v>2.5142512299999999E-2</v>
      </c>
      <c r="E113" s="7">
        <v>2.42193055E-2</v>
      </c>
      <c r="F113" s="7">
        <v>3.5824010399999988E-2</v>
      </c>
      <c r="G113" s="7">
        <v>2.6066830199999998E-2</v>
      </c>
      <c r="H113" s="7">
        <v>2.96115541E-2</v>
      </c>
      <c r="I113" s="7">
        <v>3.8442106199999999E-2</v>
      </c>
      <c r="J113" s="7">
        <v>3.5596780799999991E-2</v>
      </c>
      <c r="K113" s="7">
        <v>3.8856704200000002E-2</v>
      </c>
      <c r="L113" s="7">
        <v>4.4803452500000007E-2</v>
      </c>
      <c r="M113" s="7">
        <v>4.4762415899999991E-2</v>
      </c>
      <c r="N113" s="7">
        <v>4.2230482100000001E-2</v>
      </c>
      <c r="O113" s="7">
        <v>4.4009289700000009E-2</v>
      </c>
      <c r="P113" s="7">
        <v>4.1669855100000007E-2</v>
      </c>
      <c r="Q113" s="7">
        <v>5.3850030899999998E-2</v>
      </c>
      <c r="R113" s="7">
        <v>5.2406992899999998E-2</v>
      </c>
      <c r="S113" s="7">
        <v>5.5302109699999998E-2</v>
      </c>
      <c r="T113" s="7">
        <v>5.7563295400000013E-2</v>
      </c>
      <c r="U113" s="7">
        <v>6.0655999199999998E-2</v>
      </c>
      <c r="V113" s="7">
        <v>4.7971277200000009E-2</v>
      </c>
      <c r="W113" s="7">
        <v>6.1779198599999988E-2</v>
      </c>
      <c r="X113" s="7">
        <v>5.4164910299999987E-2</v>
      </c>
      <c r="Y113" s="7">
        <v>7.2040953599999999E-2</v>
      </c>
      <c r="Z113" s="7">
        <v>5.9432787899999992E-2</v>
      </c>
      <c r="AA113" s="8">
        <v>5.9432787899999992E-2</v>
      </c>
      <c r="AB113" s="7"/>
      <c r="AC113" s="9">
        <f t="shared" si="12"/>
        <v>5.9432787899999992E-2</v>
      </c>
      <c r="AD113" s="10" t="str">
        <f t="shared" si="13"/>
        <v>2023</v>
      </c>
      <c r="AE113" s="9">
        <f t="shared" si="14"/>
        <v>6.1370127659999996E-2</v>
      </c>
      <c r="AF113" s="9">
        <f t="shared" si="15"/>
        <v>9.0567212100000002E-2</v>
      </c>
    </row>
    <row r="114" spans="1:32" x14ac:dyDescent="0.2">
      <c r="A114" s="6" t="s">
        <v>120</v>
      </c>
      <c r="B114" s="6" t="s">
        <v>121</v>
      </c>
      <c r="C114" s="6"/>
      <c r="D114" s="7">
        <v>6.8792710299999976E-2</v>
      </c>
      <c r="E114" s="7">
        <v>7.0158920300000011E-2</v>
      </c>
      <c r="F114" s="7">
        <v>7.2455525400000012E-2</v>
      </c>
      <c r="G114" s="7">
        <v>7.1191735299999975E-2</v>
      </c>
      <c r="H114" s="7">
        <v>7.9944195700000012E-2</v>
      </c>
      <c r="I114" s="7">
        <v>7.3627076099999994E-2</v>
      </c>
      <c r="J114" s="7">
        <v>7.3024840400000013E-2</v>
      </c>
      <c r="K114" s="7">
        <v>6.8428731000000007E-2</v>
      </c>
      <c r="L114" s="7">
        <v>6.1225447699999998E-2</v>
      </c>
      <c r="M114" s="7">
        <v>6.2817368499999998E-2</v>
      </c>
      <c r="N114" s="7">
        <v>8.29588032E-2</v>
      </c>
      <c r="O114" s="7">
        <v>7.3622040700000002E-2</v>
      </c>
      <c r="P114" s="7">
        <v>8.3190431599999975E-2</v>
      </c>
      <c r="Q114" s="7">
        <v>8.0071840299999988E-2</v>
      </c>
      <c r="R114" s="7">
        <v>0.1052838707</v>
      </c>
      <c r="S114" s="7">
        <v>9.4584188500000013E-2</v>
      </c>
      <c r="T114" s="7">
        <v>0.102022686</v>
      </c>
      <c r="U114" s="7">
        <v>0.10204333309999999</v>
      </c>
      <c r="V114" s="7">
        <v>0.1020625019</v>
      </c>
      <c r="W114" s="7">
        <v>9.0032053000000001E-2</v>
      </c>
      <c r="X114" s="7">
        <v>8.99296188E-2</v>
      </c>
      <c r="Y114" s="7">
        <v>0.108982172</v>
      </c>
      <c r="Z114" s="7">
        <v>8.6092090599999976E-2</v>
      </c>
      <c r="AA114" s="7">
        <v>8.2431125600000002E-2</v>
      </c>
      <c r="AB114" s="7"/>
      <c r="AC114" s="9">
        <f t="shared" si="12"/>
        <v>8.2431125600000002E-2</v>
      </c>
      <c r="AD114" s="10" t="str">
        <f t="shared" si="13"/>
        <v>2023</v>
      </c>
      <c r="AE114" s="9">
        <f t="shared" si="14"/>
        <v>9.1493411999999982E-2</v>
      </c>
      <c r="AF114" s="9">
        <f t="shared" si="15"/>
        <v>6.7568874399999992E-2</v>
      </c>
    </row>
    <row r="115" spans="1:32" x14ac:dyDescent="0.2">
      <c r="A115" s="6" t="s">
        <v>313</v>
      </c>
      <c r="B115" s="6" t="s">
        <v>314</v>
      </c>
      <c r="C115" s="6"/>
      <c r="D115" s="7">
        <v>9.8996229199999994E-2</v>
      </c>
      <c r="E115" s="7">
        <v>0.10257448199999999</v>
      </c>
      <c r="F115" s="7">
        <v>0.10431695940000001</v>
      </c>
      <c r="G115" s="7">
        <v>0.1069286728</v>
      </c>
      <c r="H115" s="7">
        <v>0.1207247734</v>
      </c>
      <c r="I115" s="7">
        <v>0.11142335890000001</v>
      </c>
      <c r="J115" s="7">
        <v>0.1073126125</v>
      </c>
      <c r="K115" s="7">
        <v>0.10714152339999999</v>
      </c>
      <c r="L115" s="7">
        <v>9.434752460000001E-2</v>
      </c>
      <c r="M115" s="7">
        <v>0.1029210663</v>
      </c>
      <c r="N115" s="7">
        <v>0.10410325049999999</v>
      </c>
      <c r="O115" s="7">
        <v>0.105141964</v>
      </c>
      <c r="P115" s="7">
        <v>0.1065864182</v>
      </c>
      <c r="Q115" s="7">
        <v>0.1124126339</v>
      </c>
      <c r="R115" s="7">
        <v>0.1034577084</v>
      </c>
      <c r="S115" s="7">
        <v>0.1086458778</v>
      </c>
      <c r="T115" s="7">
        <v>0.1041155815</v>
      </c>
      <c r="U115" s="7">
        <v>0.107295351</v>
      </c>
      <c r="V115" s="7">
        <v>0.1041115475</v>
      </c>
      <c r="W115" s="7">
        <v>0.1031756687</v>
      </c>
      <c r="X115" s="7">
        <v>0.11520388600000001</v>
      </c>
      <c r="Y115" s="7">
        <v>0.11033061030000001</v>
      </c>
      <c r="Z115" s="7">
        <v>0.1038855362</v>
      </c>
      <c r="AA115" s="7">
        <v>9.3607091900000008E-2</v>
      </c>
      <c r="AB115" s="7"/>
      <c r="AC115" s="9">
        <f t="shared" si="12"/>
        <v>9.3607091900000008E-2</v>
      </c>
      <c r="AD115" s="10" t="str">
        <f t="shared" si="13"/>
        <v>2023</v>
      </c>
      <c r="AE115" s="9">
        <f t="shared" si="14"/>
        <v>0.10524055862000001</v>
      </c>
      <c r="AF115" s="9">
        <f t="shared" si="15"/>
        <v>5.6392908099999986E-2</v>
      </c>
    </row>
    <row r="116" spans="1:32" x14ac:dyDescent="0.2">
      <c r="A116" s="6" t="s">
        <v>315</v>
      </c>
      <c r="B116" s="6" t="s">
        <v>316</v>
      </c>
      <c r="C116" s="6"/>
      <c r="D116" s="7">
        <v>2.5944013599999999E-2</v>
      </c>
      <c r="E116" s="7">
        <v>2.8550584300000001E-2</v>
      </c>
      <c r="F116" s="7">
        <v>2.87267137E-2</v>
      </c>
      <c r="G116" s="7">
        <v>3.1482682200000001E-2</v>
      </c>
      <c r="H116" s="7">
        <v>1.58882129E-2</v>
      </c>
      <c r="I116" s="7">
        <v>1.8430881499999999E-2</v>
      </c>
      <c r="J116" s="7">
        <v>1.7509128999999998E-2</v>
      </c>
      <c r="K116" s="7">
        <v>1.7067779299999999E-2</v>
      </c>
      <c r="L116" s="7">
        <v>2.6733100400000001E-2</v>
      </c>
      <c r="M116" s="7">
        <v>1.5522829300000001E-2</v>
      </c>
      <c r="N116" s="7">
        <v>1.7737594799999999E-2</v>
      </c>
      <c r="O116" s="7">
        <v>2.8740706399999989E-2</v>
      </c>
      <c r="P116" s="7">
        <v>2.14435935E-2</v>
      </c>
      <c r="Q116" s="7">
        <v>2.5838153400000001E-2</v>
      </c>
      <c r="R116" s="7">
        <v>3.6898379299999992E-2</v>
      </c>
      <c r="S116" s="7">
        <v>3.3568267800000003E-2</v>
      </c>
      <c r="T116" s="7">
        <v>3.1999723899999992E-2</v>
      </c>
      <c r="U116" s="7">
        <v>2.3629212399999999E-2</v>
      </c>
      <c r="V116" s="7">
        <v>2.4870965499999991E-2</v>
      </c>
      <c r="W116" s="7">
        <v>3.0567924999999999E-2</v>
      </c>
      <c r="X116" s="7">
        <v>2.9105687099999999E-2</v>
      </c>
      <c r="Y116" s="7">
        <v>1.73222089E-2</v>
      </c>
      <c r="Z116" s="7">
        <v>2.7633931600000002E-2</v>
      </c>
      <c r="AA116" s="7">
        <v>3.43445873E-2</v>
      </c>
      <c r="AB116" s="7"/>
      <c r="AC116" s="9">
        <f t="shared" si="12"/>
        <v>3.43445873E-2</v>
      </c>
      <c r="AD116" s="10" t="str">
        <f t="shared" si="13"/>
        <v>2023</v>
      </c>
      <c r="AE116" s="9">
        <f t="shared" si="14"/>
        <v>2.7794867979999999E-2</v>
      </c>
      <c r="AF116" s="9">
        <f t="shared" si="15"/>
        <v>0.11565541269999999</v>
      </c>
    </row>
    <row r="117" spans="1:32" x14ac:dyDescent="0.2">
      <c r="A117" s="6" t="s">
        <v>317</v>
      </c>
      <c r="B117" s="6" t="s">
        <v>318</v>
      </c>
      <c r="C117" s="6"/>
      <c r="D117" s="7">
        <v>0.14677396770000001</v>
      </c>
      <c r="E117" s="7">
        <v>0.14252665519999999</v>
      </c>
      <c r="F117" s="7">
        <v>0.15049973489999999</v>
      </c>
      <c r="G117" s="7">
        <v>0.18340141300000001</v>
      </c>
      <c r="H117" s="7">
        <v>0.17226985929999999</v>
      </c>
      <c r="I117" s="7">
        <v>0.16819421770000001</v>
      </c>
      <c r="J117" s="7">
        <v>0.16073352809999999</v>
      </c>
      <c r="K117" s="7">
        <v>0.15542277339999999</v>
      </c>
      <c r="L117" s="7">
        <v>0.1629159355</v>
      </c>
      <c r="M117" s="7">
        <v>0.191873455</v>
      </c>
      <c r="N117" s="7">
        <v>0.19504146580000001</v>
      </c>
      <c r="O117" s="7">
        <v>0.1910724831</v>
      </c>
      <c r="P117" s="7">
        <v>0.19280433650000001</v>
      </c>
      <c r="Q117" s="7">
        <v>0.1962597847</v>
      </c>
      <c r="R117" s="7">
        <v>0.17630561829999999</v>
      </c>
      <c r="S117" s="7">
        <v>0.1721853065</v>
      </c>
      <c r="T117" s="7">
        <v>0.17177404399999999</v>
      </c>
      <c r="U117" s="7">
        <v>0.1730538177</v>
      </c>
      <c r="V117" s="7">
        <v>0.17044351580000011</v>
      </c>
      <c r="W117" s="7">
        <v>0.14499905590000001</v>
      </c>
      <c r="X117" s="7">
        <v>0.1230621147</v>
      </c>
      <c r="Y117" s="7">
        <v>0.13645910259999999</v>
      </c>
      <c r="Z117" s="7">
        <v>0.12035675999999999</v>
      </c>
      <c r="AA117" s="7">
        <v>0.1192660522</v>
      </c>
      <c r="AB117" s="7"/>
      <c r="AC117" s="9">
        <f t="shared" si="12"/>
        <v>0.1192660522</v>
      </c>
      <c r="AD117" s="10" t="str">
        <f t="shared" si="13"/>
        <v>2023</v>
      </c>
      <c r="AE117" s="9">
        <f t="shared" si="14"/>
        <v>0.12882861707999999</v>
      </c>
      <c r="AF117" s="9">
        <f t="shared" si="15"/>
        <v>3.0733947799999994E-2</v>
      </c>
    </row>
    <row r="118" spans="1:32" x14ac:dyDescent="0.2">
      <c r="A118" s="6" t="s">
        <v>122</v>
      </c>
      <c r="B118" s="6" t="s">
        <v>123</v>
      </c>
      <c r="C118" s="6"/>
      <c r="D118" s="7">
        <v>0.13354763980000001</v>
      </c>
      <c r="E118" s="7">
        <v>0.11051220890000001</v>
      </c>
      <c r="F118" s="7">
        <v>0.10904332160000001</v>
      </c>
      <c r="G118" s="7">
        <v>8.8584766400000015E-2</v>
      </c>
      <c r="H118" s="7">
        <v>8.8026466400000003E-2</v>
      </c>
      <c r="I118" s="7">
        <v>9.4847002000000014E-2</v>
      </c>
      <c r="J118" s="7">
        <v>9.5116033599999983E-2</v>
      </c>
      <c r="K118" s="7">
        <v>8.1638727200000025E-2</v>
      </c>
      <c r="L118" s="7">
        <v>8.5525045400000027E-2</v>
      </c>
      <c r="M118" s="7">
        <v>8.7487115900000009E-2</v>
      </c>
      <c r="N118" s="7">
        <v>7.7428665199999996E-2</v>
      </c>
      <c r="O118" s="7">
        <v>5.6204299899999997E-2</v>
      </c>
      <c r="P118" s="7">
        <v>6.5033869699999997E-2</v>
      </c>
      <c r="Q118" s="7">
        <v>7.1063871400000006E-2</v>
      </c>
      <c r="R118" s="7">
        <v>7.4850249300000005E-2</v>
      </c>
      <c r="S118" s="7">
        <v>7.7266616799999993E-2</v>
      </c>
      <c r="T118" s="7">
        <v>6.4619765299999993E-2</v>
      </c>
      <c r="U118" s="7">
        <v>7.0231714200000017E-2</v>
      </c>
      <c r="V118" s="7">
        <v>7.3763604199999999E-2</v>
      </c>
      <c r="W118" s="7">
        <v>6.8780841799999992E-2</v>
      </c>
      <c r="X118" s="7">
        <v>6.920670990000001E-2</v>
      </c>
      <c r="Y118" s="7">
        <v>0.1173573017</v>
      </c>
      <c r="Z118" s="7">
        <v>9.2518873200000004E-2</v>
      </c>
      <c r="AA118" s="7">
        <v>8.5609340699999981E-2</v>
      </c>
      <c r="AB118" s="7"/>
      <c r="AC118" s="9">
        <f t="shared" si="12"/>
        <v>8.5609340699999981E-2</v>
      </c>
      <c r="AD118" s="10" t="str">
        <f t="shared" si="13"/>
        <v>2023</v>
      </c>
      <c r="AE118" s="9">
        <f t="shared" si="14"/>
        <v>8.669461346E-2</v>
      </c>
      <c r="AF118" s="9">
        <f t="shared" si="15"/>
        <v>6.4390659300000014E-2</v>
      </c>
    </row>
    <row r="119" spans="1:32" x14ac:dyDescent="0.2">
      <c r="A119" s="6" t="s">
        <v>319</v>
      </c>
      <c r="B119" s="6" t="s">
        <v>320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>
        <v>0.1073071766</v>
      </c>
      <c r="P119" s="7">
        <v>0.1160591507</v>
      </c>
      <c r="Q119" s="7">
        <v>0.10685269360000001</v>
      </c>
      <c r="R119" s="7">
        <v>0.10983649249999999</v>
      </c>
      <c r="S119" s="7">
        <v>0.1163480854</v>
      </c>
      <c r="T119" s="7">
        <v>0.1092123508</v>
      </c>
      <c r="U119" s="7">
        <v>9.7264194499999998E-2</v>
      </c>
      <c r="V119" s="7">
        <v>0.10531363489999999</v>
      </c>
      <c r="W119" s="7">
        <v>0.1152457523</v>
      </c>
      <c r="X119" s="7">
        <v>0.13127789500000001</v>
      </c>
      <c r="Y119" s="7">
        <v>0.1440235138</v>
      </c>
      <c r="Z119" s="7">
        <v>0.1712354469</v>
      </c>
      <c r="AA119" s="7">
        <v>0.16595748900000001</v>
      </c>
      <c r="AB119" s="7"/>
      <c r="AC119" s="9">
        <f t="shared" si="12"/>
        <v>0.16595748900000001</v>
      </c>
      <c r="AD119" s="10" t="str">
        <f t="shared" si="13"/>
        <v>2023</v>
      </c>
      <c r="AE119" s="9">
        <f t="shared" si="14"/>
        <v>0.14554801940000001</v>
      </c>
      <c r="AF119" s="9">
        <f t="shared" si="15"/>
        <v>0</v>
      </c>
    </row>
    <row r="120" spans="1:32" x14ac:dyDescent="0.2">
      <c r="A120" s="6" t="s">
        <v>321</v>
      </c>
      <c r="B120" s="6" t="s">
        <v>322</v>
      </c>
      <c r="C120" s="6"/>
      <c r="D120" s="7">
        <v>4.1155619599999999E-2</v>
      </c>
      <c r="E120" s="7">
        <v>4.2306213400000001E-2</v>
      </c>
      <c r="F120" s="7">
        <v>4.1885480900000001E-2</v>
      </c>
      <c r="G120" s="7">
        <v>4.1407136900000002E-2</v>
      </c>
      <c r="H120" s="7">
        <v>4.1296505900000002E-2</v>
      </c>
      <c r="I120" s="7">
        <v>3.8501186399999991E-2</v>
      </c>
      <c r="J120" s="7">
        <v>5.0111346199999997E-2</v>
      </c>
      <c r="K120" s="7">
        <v>5.3582849500000002E-2</v>
      </c>
      <c r="L120" s="7">
        <v>5.3141779899999998E-2</v>
      </c>
      <c r="M120" s="7">
        <v>6.1230468799999993E-2</v>
      </c>
      <c r="N120" s="7">
        <v>6.0642905200000007E-2</v>
      </c>
      <c r="O120" s="7">
        <v>5.7927823099999998E-2</v>
      </c>
      <c r="P120" s="7">
        <v>5.6954541200000007E-2</v>
      </c>
      <c r="Q120" s="7">
        <v>6.0054578800000001E-2</v>
      </c>
      <c r="R120" s="7">
        <v>6.8385853799999993E-2</v>
      </c>
      <c r="S120" s="7">
        <v>6.956881999999999E-2</v>
      </c>
      <c r="T120" s="7">
        <v>7.0085334799999996E-2</v>
      </c>
      <c r="U120" s="7">
        <v>7.1055231100000005E-2</v>
      </c>
      <c r="V120" s="7">
        <v>7.1584620500000001E-2</v>
      </c>
      <c r="W120" s="7">
        <v>7.3072280900000008E-2</v>
      </c>
      <c r="X120" s="7">
        <v>7.2206835700000013E-2</v>
      </c>
      <c r="Y120" s="7">
        <v>7.2727322600000005E-2</v>
      </c>
      <c r="Z120" s="7">
        <v>8.5988159199999997E-2</v>
      </c>
      <c r="AA120" s="7">
        <v>0.1060523701</v>
      </c>
      <c r="AB120" s="7"/>
      <c r="AC120" s="9">
        <f t="shared" si="12"/>
        <v>0.1060523701</v>
      </c>
      <c r="AD120" s="10" t="str">
        <f t="shared" si="13"/>
        <v>2023</v>
      </c>
      <c r="AE120" s="9">
        <f t="shared" si="14"/>
        <v>8.2009393700000016E-2</v>
      </c>
      <c r="AF120" s="9">
        <f t="shared" si="15"/>
        <v>4.3947629899999993E-2</v>
      </c>
    </row>
    <row r="121" spans="1:32" x14ac:dyDescent="0.2">
      <c r="A121" s="6" t="s">
        <v>124</v>
      </c>
      <c r="B121" s="6" t="s">
        <v>125</v>
      </c>
      <c r="C121" s="6" t="s">
        <v>49</v>
      </c>
      <c r="D121" s="7">
        <v>6.3166494399999995E-2</v>
      </c>
      <c r="E121" s="8">
        <v>6.3166494399999995E-2</v>
      </c>
      <c r="F121" s="8">
        <v>6.3166494399999995E-2</v>
      </c>
      <c r="G121" s="8">
        <v>6.3166494399999995E-2</v>
      </c>
      <c r="H121" s="8">
        <v>6.3166494399999995E-2</v>
      </c>
      <c r="I121" s="7">
        <v>8.3970003099999996E-2</v>
      </c>
      <c r="J121" s="7">
        <v>5.6725707100000002E-2</v>
      </c>
      <c r="K121" s="7">
        <v>5.6029038400000009E-2</v>
      </c>
      <c r="L121" s="7">
        <v>5.6681065600000011E-2</v>
      </c>
      <c r="M121" s="7">
        <v>4.9652132999999987E-2</v>
      </c>
      <c r="N121" s="7">
        <v>4.6724147799999977E-2</v>
      </c>
      <c r="O121" s="7">
        <v>4.3442201600000001E-2</v>
      </c>
      <c r="P121" s="7">
        <v>4.3945960999999992E-2</v>
      </c>
      <c r="Q121" s="7">
        <v>4.7261586199999997E-2</v>
      </c>
      <c r="R121" s="7">
        <v>4.3172817200000012E-2</v>
      </c>
      <c r="S121" s="7">
        <v>5.5544376399999991E-2</v>
      </c>
      <c r="T121" s="7">
        <v>5.9959621399999989E-2</v>
      </c>
      <c r="U121" s="7">
        <v>6.0745649300000003E-2</v>
      </c>
      <c r="V121" s="7">
        <v>5.7316060100000003E-2</v>
      </c>
      <c r="W121" s="7">
        <v>6.5206022299999999E-2</v>
      </c>
      <c r="X121" s="7">
        <v>7.0641245800000002E-2</v>
      </c>
      <c r="Y121" s="7">
        <v>7.1126351399999996E-2</v>
      </c>
      <c r="Z121" s="7">
        <v>6.9572682400000002E-2</v>
      </c>
      <c r="AA121" s="7">
        <v>6.7625646599999992E-2</v>
      </c>
      <c r="AB121" s="7"/>
      <c r="AC121" s="9">
        <f t="shared" si="12"/>
        <v>6.7625646599999992E-2</v>
      </c>
      <c r="AD121" s="10" t="str">
        <f t="shared" si="13"/>
        <v>2023</v>
      </c>
      <c r="AE121" s="9">
        <f t="shared" si="14"/>
        <v>6.8834389699999984E-2</v>
      </c>
      <c r="AF121" s="9">
        <f t="shared" si="15"/>
        <v>8.2374353400000003E-2</v>
      </c>
    </row>
    <row r="122" spans="1:32" x14ac:dyDescent="0.2">
      <c r="A122" s="6" t="s">
        <v>323</v>
      </c>
      <c r="B122" s="6" t="s">
        <v>324</v>
      </c>
      <c r="C122" s="6"/>
      <c r="D122" s="7">
        <v>1.23249876E-2</v>
      </c>
      <c r="E122" s="7">
        <v>1.27720726E-2</v>
      </c>
      <c r="F122" s="7">
        <v>2.3572926500000001E-2</v>
      </c>
      <c r="G122" s="7">
        <v>1.70499873E-2</v>
      </c>
      <c r="H122" s="7">
        <v>1.74388623E-2</v>
      </c>
      <c r="I122" s="7">
        <v>1.1674208599999999E-2</v>
      </c>
      <c r="J122" s="7">
        <v>1.7349628200000002E-2</v>
      </c>
      <c r="K122" s="7">
        <v>1.3007797E-2</v>
      </c>
      <c r="L122" s="7">
        <v>1.19463682E-2</v>
      </c>
      <c r="M122" s="7">
        <v>1.3029182E-2</v>
      </c>
      <c r="N122" s="7">
        <v>1.2274093599999999E-2</v>
      </c>
      <c r="O122" s="7">
        <v>1.49485052E-2</v>
      </c>
      <c r="P122" s="7">
        <v>2.1025085400000001E-2</v>
      </c>
      <c r="Q122" s="7">
        <v>2.4578216100000001E-2</v>
      </c>
      <c r="R122" s="7">
        <v>4.0564055399999993E-2</v>
      </c>
      <c r="S122" s="7">
        <v>4.8162841799999988E-2</v>
      </c>
      <c r="T122" s="7">
        <v>3.1326794600000013E-2</v>
      </c>
      <c r="U122" s="7">
        <v>3.5244336100000002E-2</v>
      </c>
      <c r="V122" s="7">
        <v>3.5932779300000002E-2</v>
      </c>
      <c r="W122" s="7">
        <v>2.9638621800000001E-2</v>
      </c>
      <c r="X122" s="7">
        <v>3.3589675399999998E-2</v>
      </c>
      <c r="Y122" s="7">
        <v>4.4710865000000002E-2</v>
      </c>
      <c r="Z122" s="7">
        <v>2.3379218600000012E-2</v>
      </c>
      <c r="AA122" s="8">
        <v>2.3379218600000012E-2</v>
      </c>
      <c r="AB122" s="7"/>
      <c r="AC122" s="9">
        <f t="shared" si="12"/>
        <v>2.3379218600000012E-2</v>
      </c>
      <c r="AD122" s="10" t="str">
        <f t="shared" si="13"/>
        <v>2023</v>
      </c>
      <c r="AE122" s="9">
        <f t="shared" si="14"/>
        <v>3.0939519880000006E-2</v>
      </c>
      <c r="AF122" s="9">
        <f t="shared" si="15"/>
        <v>0.12662078139999999</v>
      </c>
    </row>
    <row r="123" spans="1:32" x14ac:dyDescent="0.2">
      <c r="A123" s="6" t="s">
        <v>126</v>
      </c>
      <c r="B123" s="6" t="s">
        <v>127</v>
      </c>
      <c r="C123" s="6"/>
      <c r="D123" s="7">
        <v>0.1865596581</v>
      </c>
      <c r="E123" s="8">
        <v>0.1865596581</v>
      </c>
      <c r="F123" s="7">
        <v>0.1985424995</v>
      </c>
      <c r="G123" s="7">
        <v>0.19498096470000001</v>
      </c>
      <c r="H123" s="7">
        <v>0.2006664658</v>
      </c>
      <c r="I123" s="7">
        <v>0.1894181824</v>
      </c>
      <c r="J123" s="7">
        <v>0.18427373890000001</v>
      </c>
      <c r="K123" s="7">
        <v>0.2065299988</v>
      </c>
      <c r="L123" s="7">
        <v>0.1722389221</v>
      </c>
      <c r="M123" s="7">
        <v>0.1349217892</v>
      </c>
      <c r="N123" s="7">
        <v>0.145885601</v>
      </c>
      <c r="O123" s="7">
        <v>0.13310722350000001</v>
      </c>
      <c r="P123" s="7">
        <v>0.13719823840000001</v>
      </c>
      <c r="Q123" s="7">
        <v>0.1358865547</v>
      </c>
      <c r="R123" s="7">
        <v>0.1196669388</v>
      </c>
      <c r="S123" s="7">
        <v>0.1235063553</v>
      </c>
      <c r="T123" s="7">
        <v>0.13802706719999999</v>
      </c>
      <c r="U123" s="7">
        <v>0.1402117729</v>
      </c>
      <c r="V123" s="7">
        <v>0.14208248139999999</v>
      </c>
      <c r="W123" s="7">
        <v>0.14082218169999999</v>
      </c>
      <c r="X123" s="7">
        <v>0.1570535183</v>
      </c>
      <c r="Y123" s="7">
        <v>0.1660372353</v>
      </c>
      <c r="Z123" s="7">
        <v>0.15882202149999999</v>
      </c>
      <c r="AA123" s="7">
        <v>0.14992521289999999</v>
      </c>
      <c r="AB123" s="7"/>
      <c r="AC123" s="9">
        <f t="shared" si="12"/>
        <v>0.14992521289999999</v>
      </c>
      <c r="AD123" s="10" t="str">
        <f t="shared" si="13"/>
        <v>2023</v>
      </c>
      <c r="AE123" s="9">
        <f t="shared" si="14"/>
        <v>0.15453203393999998</v>
      </c>
      <c r="AF123" s="9">
        <f t="shared" si="15"/>
        <v>7.4787100000001105E-5</v>
      </c>
    </row>
    <row r="124" spans="1:32" x14ac:dyDescent="0.2">
      <c r="A124" s="6" t="s">
        <v>325</v>
      </c>
      <c r="B124" s="6" t="s">
        <v>326</v>
      </c>
      <c r="C124" s="6"/>
      <c r="D124" s="7">
        <v>0.23971200940000001</v>
      </c>
      <c r="E124" s="7">
        <v>0.21979127879999999</v>
      </c>
      <c r="F124" s="7">
        <v>0.1984620094</v>
      </c>
      <c r="G124" s="7">
        <v>0.2132181168</v>
      </c>
      <c r="H124" s="7">
        <v>0.21154129029999999</v>
      </c>
      <c r="I124" s="7">
        <v>0.253666954</v>
      </c>
      <c r="J124" s="7">
        <v>0.26084005360000001</v>
      </c>
      <c r="K124" s="7">
        <v>0.25445402150000002</v>
      </c>
      <c r="L124" s="7">
        <v>0.13319533350000001</v>
      </c>
      <c r="M124" s="7">
        <v>9.2501659400000019E-2</v>
      </c>
      <c r="N124" s="7">
        <v>0.102488699</v>
      </c>
      <c r="O124" s="7">
        <v>0.12482003210000001</v>
      </c>
      <c r="P124" s="7">
        <v>8.7616729699999993E-2</v>
      </c>
      <c r="Q124" s="7">
        <v>8.0703201300000013E-2</v>
      </c>
      <c r="R124" s="7">
        <v>0.10092826840000001</v>
      </c>
      <c r="S124" s="7">
        <v>9.8901700999999995E-2</v>
      </c>
      <c r="T124" s="7">
        <v>0.1033345985</v>
      </c>
      <c r="U124" s="7">
        <v>8.25861549E-2</v>
      </c>
      <c r="V124" s="7">
        <v>0.1073138714</v>
      </c>
      <c r="W124" s="7">
        <v>9.7869129199999988E-2</v>
      </c>
      <c r="X124" s="7">
        <v>9.0527114899999983E-2</v>
      </c>
      <c r="Y124" s="7">
        <v>0.1009949112</v>
      </c>
      <c r="Z124" s="7">
        <v>0.1182882881</v>
      </c>
      <c r="AA124" s="7">
        <v>0.12884861950000001</v>
      </c>
      <c r="AB124" s="7"/>
      <c r="AC124" s="9">
        <f t="shared" si="12"/>
        <v>0.12884861950000001</v>
      </c>
      <c r="AD124" s="10" t="str">
        <f t="shared" si="13"/>
        <v>2023</v>
      </c>
      <c r="AE124" s="9">
        <f t="shared" si="14"/>
        <v>0.10730561258</v>
      </c>
      <c r="AF124" s="9">
        <f t="shared" si="15"/>
        <v>2.1151380499999983E-2</v>
      </c>
    </row>
    <row r="125" spans="1:32" x14ac:dyDescent="0.2">
      <c r="A125" s="6" t="s">
        <v>128</v>
      </c>
      <c r="B125" s="6" t="s">
        <v>129</v>
      </c>
      <c r="C125" s="6"/>
      <c r="D125" s="7">
        <v>4.2507414799999983E-2</v>
      </c>
      <c r="E125" s="7">
        <v>4.5276131599999998E-2</v>
      </c>
      <c r="F125" s="7">
        <v>6.101346970000001E-2</v>
      </c>
      <c r="G125" s="7">
        <v>5.5215454099999998E-2</v>
      </c>
      <c r="H125" s="7">
        <v>5.4828486399999987E-2</v>
      </c>
      <c r="I125" s="7">
        <v>6.2514729500000005E-2</v>
      </c>
      <c r="J125" s="7">
        <v>7.5840301500000012E-2</v>
      </c>
      <c r="K125" s="7">
        <v>5.1758842499999999E-2</v>
      </c>
      <c r="L125" s="7">
        <v>5.3112759599999997E-2</v>
      </c>
      <c r="M125" s="7">
        <v>4.6907815899999997E-2</v>
      </c>
      <c r="N125" s="7">
        <v>4.8050637200000017E-2</v>
      </c>
      <c r="O125" s="7">
        <v>4.8736372E-2</v>
      </c>
      <c r="P125" s="7">
        <v>4.6918611500000013E-2</v>
      </c>
      <c r="Q125" s="7">
        <v>4.8838276899999998E-2</v>
      </c>
      <c r="R125" s="7">
        <v>5.2682366399999993E-2</v>
      </c>
      <c r="S125" s="7">
        <v>5.1459526999999998E-2</v>
      </c>
      <c r="T125" s="7">
        <v>5.3145594599999998E-2</v>
      </c>
      <c r="U125" s="7">
        <v>4.5078778299999997E-2</v>
      </c>
      <c r="V125" s="7">
        <v>3.8115978199999997E-2</v>
      </c>
      <c r="W125" s="7">
        <v>4.0338621099999999E-2</v>
      </c>
      <c r="X125" s="7">
        <v>5.6691946999999999E-2</v>
      </c>
      <c r="Y125" s="7">
        <v>6.4860811199999993E-2</v>
      </c>
      <c r="Z125" s="7">
        <v>8.0067014700000008E-2</v>
      </c>
      <c r="AA125" s="7">
        <v>7.66042948E-2</v>
      </c>
      <c r="AB125" s="7"/>
      <c r="AC125" s="9">
        <f t="shared" si="12"/>
        <v>7.66042948E-2</v>
      </c>
      <c r="AD125" s="10" t="str">
        <f t="shared" si="13"/>
        <v>2023</v>
      </c>
      <c r="AE125" s="9">
        <f t="shared" si="14"/>
        <v>6.3712537759999993E-2</v>
      </c>
      <c r="AF125" s="9">
        <f t="shared" si="15"/>
        <v>7.3395705199999994E-2</v>
      </c>
    </row>
    <row r="126" spans="1:32" x14ac:dyDescent="0.2">
      <c r="A126" s="6" t="s">
        <v>327</v>
      </c>
      <c r="B126" s="6" t="s">
        <v>328</v>
      </c>
      <c r="C126" s="6"/>
      <c r="D126" s="7">
        <v>0.1228498459</v>
      </c>
      <c r="E126" s="7">
        <v>0.1268122387</v>
      </c>
      <c r="F126" s="7">
        <v>0.13441531179999999</v>
      </c>
      <c r="G126" s="7">
        <v>0.13808165550000001</v>
      </c>
      <c r="H126" s="7">
        <v>0.13903229710000001</v>
      </c>
      <c r="I126" s="7">
        <v>0.1425050068</v>
      </c>
      <c r="J126" s="7">
        <v>0.13564658160000001</v>
      </c>
      <c r="K126" s="7">
        <v>0.1370265675</v>
      </c>
      <c r="L126" s="7">
        <v>0.14072711939999999</v>
      </c>
      <c r="M126" s="7">
        <v>0.1392409611</v>
      </c>
      <c r="N126" s="7">
        <v>0.14133592610000001</v>
      </c>
      <c r="O126" s="7">
        <v>0.1451968002</v>
      </c>
      <c r="P126" s="7">
        <v>0.15023373600000001</v>
      </c>
      <c r="Q126" s="7">
        <v>0.1524405479</v>
      </c>
      <c r="R126" s="7">
        <v>0.1517595387</v>
      </c>
      <c r="S126" s="7">
        <v>0.148721981</v>
      </c>
      <c r="T126" s="7">
        <v>0.1487737083</v>
      </c>
      <c r="U126" s="7">
        <v>0.1494865417</v>
      </c>
      <c r="V126" s="7">
        <v>0.15255444530000001</v>
      </c>
      <c r="W126" s="7">
        <v>0.15576065059999999</v>
      </c>
      <c r="X126" s="7">
        <v>0.15785510059999999</v>
      </c>
      <c r="Y126" s="7">
        <v>0.1677684975</v>
      </c>
      <c r="Z126" s="7">
        <v>0.1571160603</v>
      </c>
      <c r="AA126" s="7">
        <v>0.15558836940000001</v>
      </c>
      <c r="AB126" s="7"/>
      <c r="AC126" s="9">
        <f t="shared" si="12"/>
        <v>0.15558836940000001</v>
      </c>
      <c r="AD126" s="10" t="str">
        <f t="shared" si="13"/>
        <v>2023</v>
      </c>
      <c r="AE126" s="9">
        <f t="shared" si="14"/>
        <v>0.15881773567999999</v>
      </c>
      <c r="AF126" s="9">
        <f t="shared" si="15"/>
        <v>0</v>
      </c>
    </row>
    <row r="127" spans="1:32" x14ac:dyDescent="0.2">
      <c r="A127" s="6" t="s">
        <v>329</v>
      </c>
      <c r="B127" s="6" t="s">
        <v>330</v>
      </c>
      <c r="C127" s="6"/>
      <c r="D127" s="7">
        <v>0.1470787811</v>
      </c>
      <c r="E127" s="7">
        <v>0.15174674029999999</v>
      </c>
      <c r="F127" s="7">
        <v>0.16278123859999999</v>
      </c>
      <c r="G127" s="7">
        <v>0.16224607469999999</v>
      </c>
      <c r="H127" s="7">
        <v>0.17002201080000001</v>
      </c>
      <c r="I127" s="7">
        <v>0.17379236219999999</v>
      </c>
      <c r="J127" s="7">
        <v>0.17939331050000001</v>
      </c>
      <c r="K127" s="7">
        <v>0.18146799089999999</v>
      </c>
      <c r="L127" s="7">
        <v>0.17505702970000001</v>
      </c>
      <c r="M127" s="7">
        <v>0.17823902129999999</v>
      </c>
      <c r="N127" s="7">
        <v>0.1668107224</v>
      </c>
      <c r="O127" s="7">
        <v>0.17079900740000009</v>
      </c>
      <c r="P127" s="7">
        <v>0.1833808327</v>
      </c>
      <c r="Q127" s="7">
        <v>0.1838267136</v>
      </c>
      <c r="R127" s="7">
        <v>0.1851039696</v>
      </c>
      <c r="S127" s="7">
        <v>0.17935997009999999</v>
      </c>
      <c r="T127" s="7">
        <v>0.17910516739999999</v>
      </c>
      <c r="U127" s="7">
        <v>0.18269977570000001</v>
      </c>
      <c r="V127" s="7">
        <v>0.17486551280000001</v>
      </c>
      <c r="W127" s="7">
        <v>0.1619778824</v>
      </c>
      <c r="X127" s="7">
        <v>0.16581327439999999</v>
      </c>
      <c r="Y127" s="7">
        <v>0.172584343</v>
      </c>
      <c r="Z127" s="7">
        <v>0.21132574080000011</v>
      </c>
      <c r="AA127" s="7">
        <v>0.19210350039999999</v>
      </c>
      <c r="AB127" s="7"/>
      <c r="AC127" s="9">
        <f t="shared" si="12"/>
        <v>0.19210350039999999</v>
      </c>
      <c r="AD127" s="10" t="str">
        <f t="shared" si="13"/>
        <v>2023</v>
      </c>
      <c r="AE127" s="9">
        <f t="shared" si="14"/>
        <v>0.18076094820000002</v>
      </c>
      <c r="AF127" s="9">
        <f t="shared" si="15"/>
        <v>0</v>
      </c>
    </row>
    <row r="128" spans="1:32" x14ac:dyDescent="0.2">
      <c r="A128" s="6" t="s">
        <v>130</v>
      </c>
      <c r="B128" s="6" t="s">
        <v>131</v>
      </c>
      <c r="C128" s="6"/>
      <c r="D128" s="7">
        <v>0.1248380184</v>
      </c>
      <c r="E128" s="7">
        <v>0.12790487289999999</v>
      </c>
      <c r="F128" s="7">
        <v>0.1314511585</v>
      </c>
      <c r="G128" s="7">
        <v>0.1224404907</v>
      </c>
      <c r="H128" s="7">
        <v>0.10920972819999999</v>
      </c>
      <c r="I128" s="7">
        <v>0.11793169019999999</v>
      </c>
      <c r="J128" s="7">
        <v>0.1340531254</v>
      </c>
      <c r="K128" s="7">
        <v>0.1467852211</v>
      </c>
      <c r="L128" s="7">
        <v>0.14583184239999999</v>
      </c>
      <c r="M128" s="7">
        <v>0.1676971817</v>
      </c>
      <c r="N128" s="7">
        <v>0.1573639107</v>
      </c>
      <c r="O128" s="7">
        <v>0.15000976560000001</v>
      </c>
      <c r="P128" s="7">
        <v>0.1556665039</v>
      </c>
      <c r="Q128" s="7">
        <v>0.15985260009999999</v>
      </c>
      <c r="R128" s="7">
        <v>0.16911611560000001</v>
      </c>
      <c r="S128" s="7">
        <v>0.17550643919999989</v>
      </c>
      <c r="T128" s="7">
        <v>0.17329458240000001</v>
      </c>
      <c r="U128" s="7">
        <v>0.17787366869999999</v>
      </c>
      <c r="V128" s="7">
        <v>0.18703578949999999</v>
      </c>
      <c r="W128" s="7">
        <v>0.18925168989999999</v>
      </c>
      <c r="X128" s="7">
        <v>0.1829687119</v>
      </c>
      <c r="Y128" s="7">
        <v>0.20180524829999999</v>
      </c>
      <c r="Z128" s="7">
        <v>0.1809780312</v>
      </c>
      <c r="AA128" s="7">
        <v>0.18289672849999999</v>
      </c>
      <c r="AB128" s="7"/>
      <c r="AC128" s="9">
        <f t="shared" si="12"/>
        <v>0.18289672849999999</v>
      </c>
      <c r="AD128" s="10" t="str">
        <f t="shared" si="13"/>
        <v>2023</v>
      </c>
      <c r="AE128" s="9">
        <f t="shared" si="14"/>
        <v>0.18758008195999998</v>
      </c>
      <c r="AF128" s="9">
        <f t="shared" si="15"/>
        <v>0</v>
      </c>
    </row>
    <row r="129" spans="1:32" x14ac:dyDescent="0.2">
      <c r="A129" s="6" t="s">
        <v>132</v>
      </c>
      <c r="B129" s="6" t="s">
        <v>133</v>
      </c>
      <c r="C129" s="6"/>
      <c r="D129" s="7">
        <v>8.3682642000000029E-2</v>
      </c>
      <c r="E129" s="7">
        <v>8.3435249299999986E-2</v>
      </c>
      <c r="F129" s="7">
        <v>8.3559980400000011E-2</v>
      </c>
      <c r="G129" s="7">
        <v>7.6298942599999989E-2</v>
      </c>
      <c r="H129" s="7">
        <v>7.3486261400000003E-2</v>
      </c>
      <c r="I129" s="7">
        <v>0.1234742451</v>
      </c>
      <c r="J129" s="7">
        <v>0.1354461861</v>
      </c>
      <c r="K129" s="7">
        <v>8.6317815800000003E-2</v>
      </c>
      <c r="L129" s="7">
        <v>9.1883315999999993E-2</v>
      </c>
      <c r="M129" s="7">
        <v>8.6941404300000011E-2</v>
      </c>
      <c r="N129" s="7">
        <v>9.1778869599999979E-2</v>
      </c>
      <c r="O129" s="7">
        <v>8.2997388800000016E-2</v>
      </c>
      <c r="P129" s="7">
        <v>6.2491211900000003E-2</v>
      </c>
      <c r="Q129" s="7">
        <v>6.55533648E-2</v>
      </c>
      <c r="R129" s="7">
        <v>5.4026942299999998E-2</v>
      </c>
      <c r="S129" s="7">
        <v>4.5863447200000011E-2</v>
      </c>
      <c r="T129" s="7">
        <v>5.6858091399999991E-2</v>
      </c>
      <c r="U129" s="7">
        <v>9.6628141400000006E-2</v>
      </c>
      <c r="V129" s="7">
        <v>8.3492775000000019E-2</v>
      </c>
      <c r="W129" s="7">
        <v>9.3794031100000008E-2</v>
      </c>
      <c r="X129" s="7">
        <v>0.1034436893</v>
      </c>
      <c r="Y129" s="7">
        <v>8.7473573700000015E-2</v>
      </c>
      <c r="Z129" s="7">
        <v>7.1149825999999999E-2</v>
      </c>
      <c r="AA129" s="7">
        <v>6.1501755700000001E-2</v>
      </c>
      <c r="AB129" s="7"/>
      <c r="AC129" s="9">
        <f t="shared" si="12"/>
        <v>6.1501755700000001E-2</v>
      </c>
      <c r="AD129" s="10" t="str">
        <f t="shared" si="13"/>
        <v>2023</v>
      </c>
      <c r="AE129" s="9">
        <f t="shared" si="14"/>
        <v>8.3472575160000007E-2</v>
      </c>
      <c r="AF129" s="9">
        <f t="shared" si="15"/>
        <v>8.8498244300000001E-2</v>
      </c>
    </row>
    <row r="130" spans="1:32" x14ac:dyDescent="0.2">
      <c r="A130" s="6" t="s">
        <v>134</v>
      </c>
      <c r="B130" s="6" t="s">
        <v>135</v>
      </c>
      <c r="C130" s="6" t="s">
        <v>49</v>
      </c>
      <c r="D130" s="7">
        <v>2.3668198600000009E-2</v>
      </c>
      <c r="E130" s="7">
        <v>2.77955914E-2</v>
      </c>
      <c r="F130" s="7">
        <v>2.74149632E-2</v>
      </c>
      <c r="G130" s="7">
        <v>4.0068516699999987E-2</v>
      </c>
      <c r="H130" s="7">
        <v>6.5542888600000002E-2</v>
      </c>
      <c r="I130" s="7">
        <v>6.4077029199999996E-2</v>
      </c>
      <c r="J130" s="7">
        <v>7.3223447799999994E-2</v>
      </c>
      <c r="K130" s="7">
        <v>4.2935776699999997E-2</v>
      </c>
      <c r="L130" s="7">
        <v>4.5940451599999987E-2</v>
      </c>
      <c r="M130" s="7">
        <v>3.6939575699999998E-2</v>
      </c>
      <c r="N130" s="7">
        <v>2.7029309299999998E-2</v>
      </c>
      <c r="O130" s="7">
        <v>2.7714133299999999E-2</v>
      </c>
      <c r="P130" s="7">
        <v>3.6679837700000002E-2</v>
      </c>
      <c r="Q130" s="7">
        <v>3.4590382599999997E-2</v>
      </c>
      <c r="R130" s="7">
        <v>3.3363800000000013E-2</v>
      </c>
      <c r="S130" s="7">
        <v>5.3312463800000008E-2</v>
      </c>
      <c r="T130" s="7">
        <v>4.8661375E-2</v>
      </c>
      <c r="U130" s="7">
        <v>4.4423522900000012E-2</v>
      </c>
      <c r="V130" s="7">
        <v>3.8811213999999997E-2</v>
      </c>
      <c r="W130" s="7">
        <v>3.7617120699999999E-2</v>
      </c>
      <c r="X130" s="7">
        <v>4.1839041700000003E-2</v>
      </c>
      <c r="Y130" s="7">
        <v>4.3079586000000003E-2</v>
      </c>
      <c r="Z130" s="8">
        <v>4.3079586000000003E-2</v>
      </c>
      <c r="AA130" s="8">
        <v>4.3079586000000003E-2</v>
      </c>
      <c r="AB130" s="7"/>
      <c r="AC130" s="9">
        <f t="shared" si="12"/>
        <v>4.3079586000000003E-2</v>
      </c>
      <c r="AD130" s="10" t="str">
        <f t="shared" si="13"/>
        <v>2023</v>
      </c>
      <c r="AE130" s="9">
        <f t="shared" si="14"/>
        <v>4.1738984079999999E-2</v>
      </c>
      <c r="AF130" s="9">
        <f t="shared" si="15"/>
        <v>0.10692041399999999</v>
      </c>
    </row>
    <row r="131" spans="1:32" x14ac:dyDescent="0.2">
      <c r="A131" s="6" t="s">
        <v>331</v>
      </c>
      <c r="B131" s="6" t="s">
        <v>332</v>
      </c>
      <c r="C131" s="6"/>
      <c r="D131" s="7">
        <v>6.5500001900000007E-2</v>
      </c>
      <c r="E131" s="7">
        <v>0.30238094329999998</v>
      </c>
      <c r="F131" s="7">
        <v>9.88888931E-2</v>
      </c>
      <c r="G131" s="7">
        <v>9.375E-2</v>
      </c>
      <c r="H131" s="7">
        <v>9.9904766099999986E-2</v>
      </c>
      <c r="I131" s="7">
        <v>7.172727109999999E-2</v>
      </c>
      <c r="J131" s="7">
        <v>0.3968181992</v>
      </c>
      <c r="K131" s="7">
        <v>0.118391304</v>
      </c>
      <c r="L131" s="7">
        <v>0.15788758280000001</v>
      </c>
      <c r="M131" s="7">
        <v>0.18987642290000001</v>
      </c>
      <c r="N131" s="7">
        <v>6.9362297100000012E-2</v>
      </c>
      <c r="O131" s="7">
        <v>9.1102962499999995E-2</v>
      </c>
      <c r="P131" s="7">
        <v>4.8215746899999988E-2</v>
      </c>
      <c r="Q131" s="7">
        <v>5.5912189500000001E-2</v>
      </c>
      <c r="R131" s="7">
        <v>6.0291686100000012E-2</v>
      </c>
      <c r="S131" s="7">
        <v>5.5894894600000002E-2</v>
      </c>
      <c r="T131" s="7">
        <v>4.9748420700000011E-2</v>
      </c>
      <c r="U131" s="7">
        <v>4.9954252199999993E-2</v>
      </c>
      <c r="V131" s="7">
        <v>4.8994135899999999E-2</v>
      </c>
      <c r="W131" s="7">
        <v>4.8510079400000003E-2</v>
      </c>
      <c r="X131" s="7">
        <v>5.7592577899999997E-2</v>
      </c>
      <c r="Y131" s="7">
        <v>7.1278333700000002E-2</v>
      </c>
      <c r="Z131" s="7">
        <v>6.55202436E-2</v>
      </c>
      <c r="AA131" s="7">
        <v>6.71319675E-2</v>
      </c>
      <c r="AB131" s="7"/>
      <c r="AC131" s="9">
        <f t="shared" si="12"/>
        <v>6.71319675E-2</v>
      </c>
      <c r="AD131" s="10" t="str">
        <f t="shared" si="13"/>
        <v>2023</v>
      </c>
      <c r="AE131" s="9">
        <f t="shared" si="14"/>
        <v>6.2006640419999995E-2</v>
      </c>
      <c r="AF131" s="9">
        <f t="shared" si="15"/>
        <v>8.2868032499999994E-2</v>
      </c>
    </row>
    <row r="132" spans="1:32" x14ac:dyDescent="0.2">
      <c r="A132" s="6" t="s">
        <v>333</v>
      </c>
      <c r="B132" s="6" t="s">
        <v>334</v>
      </c>
      <c r="C132" s="6"/>
      <c r="D132" s="7">
        <v>0.14714315410000001</v>
      </c>
      <c r="E132" s="7">
        <v>0.1219929886</v>
      </c>
      <c r="F132" s="7">
        <v>0.1238785744</v>
      </c>
      <c r="G132" s="7">
        <v>0.1376112652</v>
      </c>
      <c r="H132" s="7">
        <v>0.13833707810000001</v>
      </c>
      <c r="I132" s="7">
        <v>0.13467775339999999</v>
      </c>
      <c r="J132" s="7">
        <v>0.1340144539</v>
      </c>
      <c r="K132" s="7">
        <v>0.1284653187</v>
      </c>
      <c r="L132" s="7">
        <v>0.12536231040000001</v>
      </c>
      <c r="M132" s="7">
        <v>0.12192071910000001</v>
      </c>
      <c r="N132" s="7">
        <v>0.1250852871</v>
      </c>
      <c r="O132" s="7">
        <v>0.12735510829999999</v>
      </c>
      <c r="P132" s="7">
        <v>0.12433397290000001</v>
      </c>
      <c r="Q132" s="7">
        <v>0.13927052500000001</v>
      </c>
      <c r="R132" s="7">
        <v>0.1267158699</v>
      </c>
      <c r="S132" s="7">
        <v>0.12783996580000001</v>
      </c>
      <c r="T132" s="7">
        <v>0.13053981780000001</v>
      </c>
      <c r="U132" s="7">
        <v>0.1182731819</v>
      </c>
      <c r="V132" s="7">
        <v>0.1241411114</v>
      </c>
      <c r="W132" s="7">
        <v>0.13556311609999999</v>
      </c>
      <c r="X132" s="7">
        <v>0.128283596</v>
      </c>
      <c r="Y132" s="7">
        <v>0.13004403110000001</v>
      </c>
      <c r="Z132" s="7">
        <v>0.1204928493</v>
      </c>
      <c r="AA132" s="8">
        <v>0.1204928493</v>
      </c>
      <c r="AB132" s="7"/>
      <c r="AC132" s="9">
        <f t="shared" si="12"/>
        <v>0.1204928493</v>
      </c>
      <c r="AD132" s="10" t="str">
        <f t="shared" si="13"/>
        <v>2023</v>
      </c>
      <c r="AE132" s="9">
        <f t="shared" si="14"/>
        <v>0.12697528835999999</v>
      </c>
      <c r="AF132" s="9">
        <f t="shared" si="15"/>
        <v>2.9507150699999998E-2</v>
      </c>
    </row>
    <row r="133" spans="1:32" x14ac:dyDescent="0.2">
      <c r="A133" s="6" t="s">
        <v>335</v>
      </c>
      <c r="B133" s="6" t="s">
        <v>336</v>
      </c>
      <c r="C133" s="6"/>
      <c r="D133" s="7">
        <v>0.14848784449999999</v>
      </c>
      <c r="E133" s="7">
        <v>0.15032813070000001</v>
      </c>
      <c r="F133" s="7">
        <v>0.1581267834</v>
      </c>
      <c r="G133" s="7">
        <v>0.15861609460000001</v>
      </c>
      <c r="H133" s="7">
        <v>0.16117830280000001</v>
      </c>
      <c r="I133" s="7">
        <v>0.16279731750000001</v>
      </c>
      <c r="J133" s="7">
        <v>0.16008958819999999</v>
      </c>
      <c r="K133" s="7">
        <v>0.1614440536</v>
      </c>
      <c r="L133" s="7">
        <v>0.16507141110000001</v>
      </c>
      <c r="M133" s="7">
        <v>0.16477380750000001</v>
      </c>
      <c r="N133" s="7">
        <v>0.1661421394</v>
      </c>
      <c r="O133" s="7">
        <v>0.16793001169999999</v>
      </c>
      <c r="P133" s="7">
        <v>0.17177457809999999</v>
      </c>
      <c r="Q133" s="7">
        <v>0.17096426009999999</v>
      </c>
      <c r="R133" s="7">
        <v>0.17232540129999999</v>
      </c>
      <c r="S133" s="7">
        <v>0.17580814359999999</v>
      </c>
      <c r="T133" s="7">
        <v>0.17547290800000001</v>
      </c>
      <c r="U133" s="7">
        <v>0.17395826340000001</v>
      </c>
      <c r="V133" s="7">
        <v>0.17596099849999999</v>
      </c>
      <c r="W133" s="7">
        <v>0.1751844025</v>
      </c>
      <c r="X133" s="7">
        <v>0.17045530319999999</v>
      </c>
      <c r="Y133" s="7">
        <v>0.1790555382</v>
      </c>
      <c r="Z133" s="7">
        <v>0.17762533189999999</v>
      </c>
      <c r="AA133" s="7">
        <v>0.17367334370000001</v>
      </c>
      <c r="AB133" s="7"/>
      <c r="AC133" s="9">
        <f t="shared" ref="AC133:AC164" si="16">LOOKUP(9.99E+307,D133:AB133)</f>
        <v>0.17367334370000001</v>
      </c>
      <c r="AD133" s="10" t="str">
        <f t="shared" ref="AD133:AD164" si="17">LOOKUP(9.99E+307,D133:AB133,D$4:AB$4)</f>
        <v>2023</v>
      </c>
      <c r="AE133" s="9">
        <f t="shared" ref="AE133:AE164" si="18">IFERROR(AVERAGE(W133:AB133),"")</f>
        <v>0.17519878389999999</v>
      </c>
      <c r="AF133" s="9">
        <f t="shared" ref="AF133:AF164" si="19">MAX(0,$B$2-AC133)</f>
        <v>0</v>
      </c>
    </row>
    <row r="134" spans="1:32" x14ac:dyDescent="0.2">
      <c r="A134" s="6" t="s">
        <v>337</v>
      </c>
      <c r="B134" s="6" t="s">
        <v>338</v>
      </c>
      <c r="C134" s="6"/>
      <c r="D134" s="7">
        <v>7.0307927100000001E-2</v>
      </c>
      <c r="E134" s="7">
        <v>6.6578187899999988E-2</v>
      </c>
      <c r="F134" s="7">
        <v>6.7902088200000016E-2</v>
      </c>
      <c r="G134" s="7">
        <v>6.77371311E-2</v>
      </c>
      <c r="H134" s="7">
        <v>6.2424969699999992E-2</v>
      </c>
      <c r="I134" s="7">
        <v>6.0894146000000003E-2</v>
      </c>
      <c r="J134" s="7">
        <v>5.4230489700000023E-2</v>
      </c>
      <c r="K134" s="7">
        <v>5.5819349300000001E-2</v>
      </c>
      <c r="L134" s="7">
        <v>5.4096732100000003E-2</v>
      </c>
      <c r="M134" s="7">
        <v>6.0154533400000008E-2</v>
      </c>
      <c r="N134" s="7">
        <v>6.6959118799999995E-2</v>
      </c>
      <c r="O134" s="7">
        <v>5.3040242199999997E-2</v>
      </c>
      <c r="P134" s="7">
        <v>4.8770770999999991E-2</v>
      </c>
      <c r="Q134" s="7">
        <v>5.5819616299999993E-2</v>
      </c>
      <c r="R134" s="7">
        <v>6.8130483599999986E-2</v>
      </c>
      <c r="S134" s="7">
        <v>8.260501860000001E-2</v>
      </c>
      <c r="T134" s="7">
        <v>8.4111137400000008E-2</v>
      </c>
      <c r="U134" s="7">
        <v>8.9455909700000016E-2</v>
      </c>
      <c r="V134" s="7">
        <v>7.2504358299999988E-2</v>
      </c>
      <c r="W134" s="7">
        <v>8.5937528599999979E-2</v>
      </c>
      <c r="X134" s="7">
        <v>0.1024410915</v>
      </c>
      <c r="Y134" s="7">
        <v>0.1054545403</v>
      </c>
      <c r="Z134" s="7">
        <v>8.4879026400000002E-2</v>
      </c>
      <c r="AA134" s="7">
        <v>0.10844666479999999</v>
      </c>
      <c r="AB134" s="7"/>
      <c r="AC134" s="9">
        <f t="shared" si="16"/>
        <v>0.10844666479999999</v>
      </c>
      <c r="AD134" s="10" t="str">
        <f t="shared" si="17"/>
        <v>2023</v>
      </c>
      <c r="AE134" s="9">
        <f t="shared" si="18"/>
        <v>9.7431770319999986E-2</v>
      </c>
      <c r="AF134" s="9">
        <f t="shared" si="19"/>
        <v>4.1553335199999999E-2</v>
      </c>
    </row>
    <row r="135" spans="1:32" x14ac:dyDescent="0.2">
      <c r="A135" s="6" t="s">
        <v>136</v>
      </c>
      <c r="B135" s="6" t="s">
        <v>137</v>
      </c>
      <c r="C135" s="6"/>
      <c r="D135" s="7">
        <v>6.2598590900000001E-2</v>
      </c>
      <c r="E135" s="7">
        <v>6.3066840200000002E-2</v>
      </c>
      <c r="F135" s="7">
        <v>6.2668557200000002E-2</v>
      </c>
      <c r="G135" s="7">
        <v>3.9821603300000001E-2</v>
      </c>
      <c r="H135" s="7">
        <v>4.5119390500000002E-2</v>
      </c>
      <c r="I135" s="7">
        <v>3.9787476099999997E-2</v>
      </c>
      <c r="J135" s="7">
        <v>3.2093622699999998E-2</v>
      </c>
      <c r="K135" s="7">
        <v>2.8208477499999999E-2</v>
      </c>
      <c r="L135" s="7">
        <v>2.2233431299999998E-2</v>
      </c>
      <c r="M135" s="7">
        <v>2.9631404900000002E-2</v>
      </c>
      <c r="N135" s="7">
        <v>2.8897414199999999E-2</v>
      </c>
      <c r="O135" s="7">
        <v>2.5431916700000001E-2</v>
      </c>
      <c r="P135" s="7">
        <v>3.1706104300000003E-2</v>
      </c>
      <c r="Q135" s="7">
        <v>3.2493059599999999E-2</v>
      </c>
      <c r="R135" s="7">
        <v>3.3424859000000001E-2</v>
      </c>
      <c r="S135" s="7">
        <v>3.8504207099999993E-2</v>
      </c>
      <c r="T135" s="7">
        <v>3.9600825300000003E-2</v>
      </c>
      <c r="U135" s="7">
        <v>4.7719540600000013E-2</v>
      </c>
      <c r="V135" s="7">
        <v>4.8994936899999987E-2</v>
      </c>
      <c r="W135" s="7">
        <v>4.9508824299999997E-2</v>
      </c>
      <c r="X135" s="7">
        <v>5.1228570899999999E-2</v>
      </c>
      <c r="Y135" s="7">
        <v>6.0219402300000002E-2</v>
      </c>
      <c r="Z135" s="7">
        <v>5.5511612899999993E-2</v>
      </c>
      <c r="AA135" s="7">
        <v>4.6826033599999997E-2</v>
      </c>
      <c r="AB135" s="7"/>
      <c r="AC135" s="9">
        <f t="shared" si="16"/>
        <v>4.6826033599999997E-2</v>
      </c>
      <c r="AD135" s="10" t="str">
        <f t="shared" si="17"/>
        <v>2023</v>
      </c>
      <c r="AE135" s="9">
        <f t="shared" si="18"/>
        <v>5.2658888799999991E-2</v>
      </c>
      <c r="AF135" s="9">
        <f t="shared" si="19"/>
        <v>0.1031739664</v>
      </c>
    </row>
    <row r="136" spans="1:32" x14ac:dyDescent="0.2">
      <c r="A136" s="6" t="s">
        <v>339</v>
      </c>
      <c r="B136" s="6" t="s">
        <v>340</v>
      </c>
      <c r="C136" s="6"/>
      <c r="D136" s="7">
        <v>8.0978937099999995E-2</v>
      </c>
      <c r="E136" s="7">
        <v>7.9726672200000015E-2</v>
      </c>
      <c r="F136" s="7">
        <v>7.3907532700000014E-2</v>
      </c>
      <c r="G136" s="7">
        <v>8.1612854000000012E-2</v>
      </c>
      <c r="H136" s="7">
        <v>8.5017728800000011E-2</v>
      </c>
      <c r="I136" s="7">
        <v>8.6144590400000012E-2</v>
      </c>
      <c r="J136" s="7">
        <v>7.9825091399999992E-2</v>
      </c>
      <c r="K136" s="7">
        <v>6.94343662E-2</v>
      </c>
      <c r="L136" s="7">
        <v>6.8753104199999998E-2</v>
      </c>
      <c r="M136" s="7">
        <v>9.4262561799999992E-2</v>
      </c>
      <c r="N136" s="7">
        <v>8.6875696200000019E-2</v>
      </c>
      <c r="O136" s="7">
        <v>9.8475847200000008E-2</v>
      </c>
      <c r="P136" s="7">
        <v>0.1114592838</v>
      </c>
      <c r="Q136" s="7">
        <v>0.13611836429999999</v>
      </c>
      <c r="R136" s="7">
        <v>0.139167347</v>
      </c>
      <c r="S136" s="7">
        <v>0.1399006367</v>
      </c>
      <c r="T136" s="7">
        <v>0.13906221390000001</v>
      </c>
      <c r="U136" s="7">
        <v>0.16244863509999999</v>
      </c>
      <c r="V136" s="7">
        <v>0.16009811400000001</v>
      </c>
      <c r="W136" s="7">
        <v>0.16553407669999989</v>
      </c>
      <c r="X136" s="7">
        <v>0.1180747986</v>
      </c>
      <c r="Y136" s="7">
        <v>0.1169281769</v>
      </c>
      <c r="Z136" s="7">
        <v>0.1275415993</v>
      </c>
      <c r="AA136" s="7">
        <v>0.13260117530000001</v>
      </c>
      <c r="AB136" s="7"/>
      <c r="AC136" s="9">
        <f t="shared" si="16"/>
        <v>0.13260117530000001</v>
      </c>
      <c r="AD136" s="10" t="str">
        <f t="shared" si="17"/>
        <v>2023</v>
      </c>
      <c r="AE136" s="9">
        <f t="shared" si="18"/>
        <v>0.13213596536</v>
      </c>
      <c r="AF136" s="9">
        <f t="shared" si="19"/>
        <v>1.7398824699999982E-2</v>
      </c>
    </row>
    <row r="137" spans="1:32" x14ac:dyDescent="0.2">
      <c r="A137" s="6" t="s">
        <v>138</v>
      </c>
      <c r="B137" s="6" t="s">
        <v>139</v>
      </c>
      <c r="C137" s="6"/>
      <c r="D137" s="7">
        <v>0.19781747820000001</v>
      </c>
      <c r="E137" s="7">
        <v>0.18728843689999999</v>
      </c>
      <c r="F137" s="7">
        <v>0.18844736100000001</v>
      </c>
      <c r="G137" s="7">
        <v>0.17181688310000001</v>
      </c>
      <c r="H137" s="7">
        <v>0.19221500399999999</v>
      </c>
      <c r="I137" s="7">
        <v>0.16471035000000001</v>
      </c>
      <c r="J137" s="7">
        <v>0.18558368680000001</v>
      </c>
      <c r="K137" s="7">
        <v>0.22247358319999999</v>
      </c>
      <c r="L137" s="7">
        <v>0.20069345469999991</v>
      </c>
      <c r="M137" s="7">
        <v>0.20486574169999999</v>
      </c>
      <c r="N137" s="7">
        <v>0.19226312640000001</v>
      </c>
      <c r="O137" s="7">
        <v>0.1798855972</v>
      </c>
      <c r="P137" s="7">
        <v>0.17106687549999999</v>
      </c>
      <c r="Q137" s="7">
        <v>0.1740051651</v>
      </c>
      <c r="R137" s="7">
        <v>0.18434894560000001</v>
      </c>
      <c r="S137" s="7">
        <v>0.1971187019</v>
      </c>
      <c r="T137" s="7">
        <v>0.20341421130000001</v>
      </c>
      <c r="U137" s="7">
        <v>0.2079706573</v>
      </c>
      <c r="V137" s="7">
        <v>0.2019202614</v>
      </c>
      <c r="W137" s="7">
        <v>0.22348571780000009</v>
      </c>
      <c r="X137" s="7">
        <v>0.20134941100000001</v>
      </c>
      <c r="Y137" s="7">
        <v>0.21347995759999999</v>
      </c>
      <c r="Z137" s="7">
        <v>0.223041935</v>
      </c>
      <c r="AA137" s="7">
        <v>0.19849109649999999</v>
      </c>
      <c r="AB137" s="7"/>
      <c r="AC137" s="9">
        <f t="shared" si="16"/>
        <v>0.19849109649999999</v>
      </c>
      <c r="AD137" s="10" t="str">
        <f t="shared" si="17"/>
        <v>2023</v>
      </c>
      <c r="AE137" s="9">
        <f t="shared" si="18"/>
        <v>0.21196962358000002</v>
      </c>
      <c r="AF137" s="9">
        <f t="shared" si="19"/>
        <v>0</v>
      </c>
    </row>
    <row r="138" spans="1:32" x14ac:dyDescent="0.2">
      <c r="A138" s="6" t="s">
        <v>140</v>
      </c>
      <c r="B138" s="6" t="s">
        <v>141</v>
      </c>
      <c r="C138" s="6"/>
      <c r="D138" s="7">
        <v>8.316667559999999E-2</v>
      </c>
      <c r="E138" s="7">
        <v>7.7334280000000005E-2</v>
      </c>
      <c r="F138" s="7">
        <v>8.4760389299999975E-2</v>
      </c>
      <c r="G138" s="7">
        <v>7.6346120800000014E-2</v>
      </c>
      <c r="H138" s="7">
        <v>8.7462501499999998E-2</v>
      </c>
      <c r="I138" s="7">
        <v>7.8258790999999994E-2</v>
      </c>
      <c r="J138" s="7">
        <v>8.3770503999999996E-2</v>
      </c>
      <c r="K138" s="7">
        <v>9.0688610100000011E-2</v>
      </c>
      <c r="L138" s="7">
        <v>7.6645340900000011E-2</v>
      </c>
      <c r="M138" s="7">
        <v>6.3151845899999989E-2</v>
      </c>
      <c r="N138" s="7">
        <v>7.0693120999999998E-2</v>
      </c>
      <c r="O138" s="7">
        <v>7.6042318300000009E-2</v>
      </c>
      <c r="P138" s="7">
        <v>8.1286125200000003E-2</v>
      </c>
      <c r="Q138" s="7">
        <v>7.1877017000000001E-2</v>
      </c>
      <c r="R138" s="7">
        <v>7.470081810000001E-2</v>
      </c>
      <c r="S138" s="7">
        <v>6.0310936000000002E-2</v>
      </c>
      <c r="T138" s="7">
        <v>8.0409183499999995E-2</v>
      </c>
      <c r="U138" s="7">
        <v>9.1549806599999978E-2</v>
      </c>
      <c r="V138" s="7">
        <v>7.9493136399999997E-2</v>
      </c>
      <c r="W138" s="7">
        <v>6.3698492100000004E-2</v>
      </c>
      <c r="X138" s="7">
        <v>6.7297944999999998E-2</v>
      </c>
      <c r="Y138" s="7">
        <v>5.325120450000001E-2</v>
      </c>
      <c r="Z138" s="7">
        <v>6.9878234900000016E-2</v>
      </c>
      <c r="AA138" s="7">
        <v>9.4504451799999986E-2</v>
      </c>
      <c r="AB138" s="7"/>
      <c r="AC138" s="9">
        <f t="shared" si="16"/>
        <v>9.4504451799999986E-2</v>
      </c>
      <c r="AD138" s="10" t="str">
        <f t="shared" si="17"/>
        <v>2023</v>
      </c>
      <c r="AE138" s="9">
        <f t="shared" si="18"/>
        <v>6.9726065660000003E-2</v>
      </c>
      <c r="AF138" s="9">
        <f t="shared" si="19"/>
        <v>5.5495548200000008E-2</v>
      </c>
    </row>
    <row r="139" spans="1:32" x14ac:dyDescent="0.2">
      <c r="A139" s="6" t="s">
        <v>341</v>
      </c>
      <c r="B139" s="6" t="s">
        <v>342</v>
      </c>
      <c r="C139" s="6"/>
      <c r="D139" s="7">
        <v>0.11849407200000001</v>
      </c>
      <c r="E139" s="7">
        <v>0.1022955513</v>
      </c>
      <c r="F139" s="7">
        <v>8.3170042E-2</v>
      </c>
      <c r="G139" s="7">
        <v>0.10349059100000001</v>
      </c>
      <c r="H139" s="7">
        <v>0.1034750175</v>
      </c>
      <c r="I139" s="7">
        <v>0.1088833141</v>
      </c>
      <c r="J139" s="7">
        <v>0.1186864185</v>
      </c>
      <c r="K139" s="7">
        <v>0.12629590030000001</v>
      </c>
      <c r="L139" s="7">
        <v>0.12988328930000001</v>
      </c>
      <c r="M139" s="7">
        <v>0.1395690155</v>
      </c>
      <c r="N139" s="7">
        <v>0.1452885723</v>
      </c>
      <c r="O139" s="7">
        <v>0.15795856480000001</v>
      </c>
      <c r="P139" s="7">
        <v>0.16355955119999999</v>
      </c>
      <c r="Q139" s="7">
        <v>0.1514324665</v>
      </c>
      <c r="R139" s="7">
        <v>0.18451297759999999</v>
      </c>
      <c r="S139" s="7">
        <v>0.17558416369999999</v>
      </c>
      <c r="T139" s="7">
        <v>0.17786001209999999</v>
      </c>
      <c r="U139" s="7">
        <v>0.1676217079</v>
      </c>
      <c r="V139" s="7">
        <v>0.1638777924</v>
      </c>
      <c r="W139" s="7">
        <v>0.16449121480000001</v>
      </c>
      <c r="X139" s="7">
        <v>0.18262649540000001</v>
      </c>
      <c r="Y139" s="7">
        <v>0.21841909409999999</v>
      </c>
      <c r="Z139" s="7">
        <v>0.2026028252</v>
      </c>
      <c r="AA139" s="7">
        <v>0.21566534039999999</v>
      </c>
      <c r="AB139" s="7"/>
      <c r="AC139" s="9">
        <f t="shared" si="16"/>
        <v>0.21566534039999999</v>
      </c>
      <c r="AD139" s="10" t="str">
        <f t="shared" si="17"/>
        <v>2023</v>
      </c>
      <c r="AE139" s="9">
        <f t="shared" si="18"/>
        <v>0.19676099397999999</v>
      </c>
      <c r="AF139" s="9">
        <f t="shared" si="19"/>
        <v>0</v>
      </c>
    </row>
    <row r="140" spans="1:32" x14ac:dyDescent="0.2">
      <c r="A140" s="6" t="s">
        <v>343</v>
      </c>
      <c r="B140" s="6" t="s">
        <v>344</v>
      </c>
      <c r="C140" s="6"/>
      <c r="D140" s="7">
        <v>0.10769976620000001</v>
      </c>
      <c r="E140" s="7">
        <v>0.11827191350000001</v>
      </c>
      <c r="F140" s="7">
        <v>0.12839011189999999</v>
      </c>
      <c r="G140" s="7">
        <v>0.1161311531</v>
      </c>
      <c r="H140" s="7">
        <v>0.1177817726</v>
      </c>
      <c r="I140" s="7">
        <v>0.12590543749999999</v>
      </c>
      <c r="J140" s="7">
        <v>0.1156533909</v>
      </c>
      <c r="K140" s="7">
        <v>0.1158643723</v>
      </c>
      <c r="L140" s="7">
        <v>0.1098999786</v>
      </c>
      <c r="M140" s="7">
        <v>0.1167159462</v>
      </c>
      <c r="N140" s="7">
        <v>0.116243124</v>
      </c>
      <c r="O140" s="7">
        <v>0.1169203568</v>
      </c>
      <c r="P140" s="7">
        <v>0.1224156475</v>
      </c>
      <c r="Q140" s="7">
        <v>0.1231632423</v>
      </c>
      <c r="R140" s="7">
        <v>0.13095902440000001</v>
      </c>
      <c r="S140" s="7">
        <v>0.1354340839</v>
      </c>
      <c r="T140" s="7">
        <v>0.14634330749999999</v>
      </c>
      <c r="U140" s="7">
        <v>0.14433391570000001</v>
      </c>
      <c r="V140" s="7">
        <v>0.1489298248</v>
      </c>
      <c r="W140" s="7">
        <v>0.1534553719</v>
      </c>
      <c r="X140" s="7">
        <v>0.166725502</v>
      </c>
      <c r="Y140" s="7">
        <v>0.1898254204</v>
      </c>
      <c r="Z140" s="7">
        <v>0.16663322450000001</v>
      </c>
      <c r="AA140" s="7">
        <v>0.15951281549999999</v>
      </c>
      <c r="AB140" s="7"/>
      <c r="AC140" s="9">
        <f t="shared" si="16"/>
        <v>0.15951281549999999</v>
      </c>
      <c r="AD140" s="10" t="str">
        <f t="shared" si="17"/>
        <v>2023</v>
      </c>
      <c r="AE140" s="9">
        <f t="shared" si="18"/>
        <v>0.16723046686000001</v>
      </c>
      <c r="AF140" s="9">
        <f t="shared" si="19"/>
        <v>0</v>
      </c>
    </row>
    <row r="141" spans="1:32" x14ac:dyDescent="0.2">
      <c r="A141" s="6" t="s">
        <v>142</v>
      </c>
      <c r="B141" s="6" t="s">
        <v>143</v>
      </c>
      <c r="C141" s="6"/>
      <c r="D141" s="7">
        <v>6.5183858899999989E-2</v>
      </c>
      <c r="E141" s="7">
        <v>5.5015582999999993E-2</v>
      </c>
      <c r="F141" s="7">
        <v>4.7528080900000012E-2</v>
      </c>
      <c r="G141" s="7">
        <v>5.4588623000000003E-2</v>
      </c>
      <c r="H141" s="7">
        <v>5.6192007099999997E-2</v>
      </c>
      <c r="I141" s="7">
        <v>6.6097803099999991E-2</v>
      </c>
      <c r="J141" s="7">
        <v>6.6309614200000006E-2</v>
      </c>
      <c r="K141" s="7">
        <v>6.4638404799999993E-2</v>
      </c>
      <c r="L141" s="7">
        <v>6.5101442299999993E-2</v>
      </c>
      <c r="M141" s="7">
        <v>6.6447358100000006E-2</v>
      </c>
      <c r="N141" s="7">
        <v>7.1827902799999996E-2</v>
      </c>
      <c r="O141" s="7">
        <v>6.1674323099999998E-2</v>
      </c>
      <c r="P141" s="7">
        <v>6.2014274600000002E-2</v>
      </c>
      <c r="Q141" s="7">
        <v>6.4671025300000004E-2</v>
      </c>
      <c r="R141" s="7">
        <v>7.5054044699999989E-2</v>
      </c>
      <c r="S141" s="7">
        <v>8.2568759900000011E-2</v>
      </c>
      <c r="T141" s="7">
        <v>7.7519669499999985E-2</v>
      </c>
      <c r="U141" s="7">
        <v>7.6203293800000016E-2</v>
      </c>
      <c r="V141" s="7">
        <v>7.3461298899999999E-2</v>
      </c>
      <c r="W141" s="7">
        <v>7.7887635200000013E-2</v>
      </c>
      <c r="X141" s="7">
        <v>9.0017347300000009E-2</v>
      </c>
      <c r="Y141" s="7">
        <v>9.8200349799999989E-2</v>
      </c>
      <c r="Z141" s="7">
        <v>8.9760951999999991E-2</v>
      </c>
      <c r="AA141" s="7">
        <v>8.7699451400000003E-2</v>
      </c>
      <c r="AB141" s="7"/>
      <c r="AC141" s="9">
        <f t="shared" si="16"/>
        <v>8.7699451400000003E-2</v>
      </c>
      <c r="AD141" s="10" t="str">
        <f t="shared" si="17"/>
        <v>2023</v>
      </c>
      <c r="AE141" s="9">
        <f t="shared" si="18"/>
        <v>8.8713147140000004E-2</v>
      </c>
      <c r="AF141" s="9">
        <f t="shared" si="19"/>
        <v>6.2300548599999991E-2</v>
      </c>
    </row>
    <row r="142" spans="1:32" x14ac:dyDescent="0.2">
      <c r="A142" s="6" t="s">
        <v>345</v>
      </c>
      <c r="B142" s="6" t="s">
        <v>346</v>
      </c>
      <c r="C142" s="6"/>
      <c r="D142" s="7">
        <v>8.381218909999999E-2</v>
      </c>
      <c r="E142" s="7">
        <v>8.8929481499999991E-2</v>
      </c>
      <c r="F142" s="7">
        <v>9.3915719999999994E-2</v>
      </c>
      <c r="G142" s="7">
        <v>8.952383999999998E-2</v>
      </c>
      <c r="H142" s="7">
        <v>9.1098976100000006E-2</v>
      </c>
      <c r="I142" s="7">
        <v>8.9949913000000006E-2</v>
      </c>
      <c r="J142" s="7">
        <v>9.0035038000000012E-2</v>
      </c>
      <c r="K142" s="7">
        <v>9.5400543199999993E-2</v>
      </c>
      <c r="L142" s="7">
        <v>0.1027323627</v>
      </c>
      <c r="M142" s="7">
        <v>0.10498002049999999</v>
      </c>
      <c r="N142" s="7">
        <v>9.9820404099999996E-2</v>
      </c>
      <c r="O142" s="7">
        <v>0.1005437851</v>
      </c>
      <c r="P142" s="7">
        <v>0.1007476521</v>
      </c>
      <c r="Q142" s="7">
        <v>0.1049304199</v>
      </c>
      <c r="R142" s="7">
        <v>0.1047100353</v>
      </c>
      <c r="S142" s="7">
        <v>0.1063470554</v>
      </c>
      <c r="T142" s="7">
        <v>0.1094734287</v>
      </c>
      <c r="U142" s="7">
        <v>0.10938355449999999</v>
      </c>
      <c r="V142" s="7">
        <v>0.10827287670000001</v>
      </c>
      <c r="W142" s="7">
        <v>0.1101052094</v>
      </c>
      <c r="X142" s="7">
        <v>9.6803627000000003E-2</v>
      </c>
      <c r="Y142" s="7">
        <v>0.1053453255</v>
      </c>
      <c r="Z142" s="7">
        <v>0.1103518772</v>
      </c>
      <c r="AA142" s="7">
        <v>0.1174520302</v>
      </c>
      <c r="AB142" s="7"/>
      <c r="AC142" s="9">
        <f t="shared" si="16"/>
        <v>0.1174520302</v>
      </c>
      <c r="AD142" s="10" t="str">
        <f t="shared" si="17"/>
        <v>2023</v>
      </c>
      <c r="AE142" s="9">
        <f t="shared" si="18"/>
        <v>0.10801161385999999</v>
      </c>
      <c r="AF142" s="9">
        <f t="shared" si="19"/>
        <v>3.2547969799999993E-2</v>
      </c>
    </row>
    <row r="143" spans="1:32" x14ac:dyDescent="0.2">
      <c r="A143" s="6" t="s">
        <v>347</v>
      </c>
      <c r="B143" s="6" t="s">
        <v>348</v>
      </c>
      <c r="C143" s="6"/>
      <c r="D143" s="7">
        <v>0.14062174799999999</v>
      </c>
      <c r="E143" s="7">
        <v>0.1371931458</v>
      </c>
      <c r="F143" s="7">
        <v>0.14461716650000001</v>
      </c>
      <c r="G143" s="7">
        <v>0.14181873319999999</v>
      </c>
      <c r="H143" s="7">
        <v>0.1453673935</v>
      </c>
      <c r="I143" s="7">
        <v>0.1463061142</v>
      </c>
      <c r="J143" s="7">
        <v>0.13116776469999999</v>
      </c>
      <c r="K143" s="7">
        <v>0.13034800530000001</v>
      </c>
      <c r="L143" s="7">
        <v>0.1316810226</v>
      </c>
      <c r="M143" s="7">
        <v>0.12861516000000001</v>
      </c>
      <c r="N143" s="7">
        <v>0.1284303665</v>
      </c>
      <c r="O143" s="7">
        <v>0.1253102016</v>
      </c>
      <c r="P143" s="7">
        <v>0.1209683132</v>
      </c>
      <c r="Q143" s="7">
        <v>0.1171395683</v>
      </c>
      <c r="R143" s="7">
        <v>0.1114735508</v>
      </c>
      <c r="S143" s="7">
        <v>0.1191233253</v>
      </c>
      <c r="T143" s="7">
        <v>0.12900467869999999</v>
      </c>
      <c r="U143" s="7">
        <v>0.1253606796</v>
      </c>
      <c r="V143" s="7">
        <v>0.13312572480000001</v>
      </c>
      <c r="W143" s="7">
        <v>0.13603578569999999</v>
      </c>
      <c r="X143" s="7">
        <v>0.1375505638</v>
      </c>
      <c r="Y143" s="7">
        <v>0.1479358482</v>
      </c>
      <c r="Z143" s="7">
        <v>0.14985200879999999</v>
      </c>
      <c r="AA143" s="7">
        <v>0.1456064987</v>
      </c>
      <c r="AB143" s="7"/>
      <c r="AC143" s="9">
        <f t="shared" si="16"/>
        <v>0.1456064987</v>
      </c>
      <c r="AD143" s="10" t="str">
        <f t="shared" si="17"/>
        <v>2023</v>
      </c>
      <c r="AE143" s="9">
        <f t="shared" si="18"/>
        <v>0.14339614104000001</v>
      </c>
      <c r="AF143" s="9">
        <f t="shared" si="19"/>
        <v>4.3935012999999912E-3</v>
      </c>
    </row>
    <row r="144" spans="1:32" x14ac:dyDescent="0.2">
      <c r="A144" s="6" t="s">
        <v>349</v>
      </c>
      <c r="B144" s="6" t="s">
        <v>350</v>
      </c>
      <c r="C144" s="6"/>
      <c r="D144" s="7">
        <v>3.94152761E-2</v>
      </c>
      <c r="E144" s="7">
        <v>4.5546808199999997E-2</v>
      </c>
      <c r="F144" s="7">
        <v>4.9016022700000023E-2</v>
      </c>
      <c r="G144" s="7">
        <v>9.21753025E-2</v>
      </c>
      <c r="H144" s="7">
        <v>7.9781317700000007E-2</v>
      </c>
      <c r="I144" s="7">
        <v>6.6229500800000007E-2</v>
      </c>
      <c r="J144" s="7">
        <v>5.7955584499999997E-2</v>
      </c>
      <c r="K144" s="7">
        <v>5.2538590400000001E-2</v>
      </c>
      <c r="L144" s="7">
        <v>5.1943826700000001E-2</v>
      </c>
      <c r="M144" s="7">
        <v>4.6460723899999987E-2</v>
      </c>
      <c r="N144" s="7">
        <v>4.1493330000000002E-2</v>
      </c>
      <c r="O144" s="7">
        <v>4.1290783899999989E-2</v>
      </c>
      <c r="P144" s="7">
        <v>4.4655265800000003E-2</v>
      </c>
      <c r="Q144" s="7">
        <v>6.1765627900000002E-2</v>
      </c>
      <c r="R144" s="7">
        <v>6.5038728700000006E-2</v>
      </c>
      <c r="S144" s="7">
        <v>8.2859373099999994E-2</v>
      </c>
      <c r="T144" s="7">
        <v>7.58855581E-2</v>
      </c>
      <c r="U144" s="7">
        <v>7.8253512400000003E-2</v>
      </c>
      <c r="V144" s="7">
        <v>8.678023339999999E-2</v>
      </c>
      <c r="W144" s="7">
        <v>8.3850326499999989E-2</v>
      </c>
      <c r="X144" s="7">
        <v>9.538887980000002E-2</v>
      </c>
      <c r="Y144" s="7">
        <v>8.3751096699999986E-2</v>
      </c>
      <c r="Z144" s="7">
        <v>7.3840589500000012E-2</v>
      </c>
      <c r="AA144" s="7">
        <v>7.6858200999999987E-2</v>
      </c>
      <c r="AB144" s="7"/>
      <c r="AC144" s="9">
        <f t="shared" si="16"/>
        <v>7.6858200999999987E-2</v>
      </c>
      <c r="AD144" s="10" t="str">
        <f t="shared" si="17"/>
        <v>2023</v>
      </c>
      <c r="AE144" s="9">
        <f t="shared" si="18"/>
        <v>8.2737818699999993E-2</v>
      </c>
      <c r="AF144" s="9">
        <f t="shared" si="19"/>
        <v>7.3141799000000007E-2</v>
      </c>
    </row>
    <row r="145" spans="1:32" x14ac:dyDescent="0.2">
      <c r="A145" s="6" t="s">
        <v>351</v>
      </c>
      <c r="B145" s="6" t="s">
        <v>352</v>
      </c>
      <c r="C145" s="6"/>
      <c r="D145" s="7">
        <v>8.2799205800000011E-2</v>
      </c>
      <c r="E145" s="7">
        <v>9.2975301699999999E-2</v>
      </c>
      <c r="F145" s="7">
        <v>8.930583949999997E-2</v>
      </c>
      <c r="G145" s="7">
        <v>7.485934729999999E-2</v>
      </c>
      <c r="H145" s="7">
        <v>8.2998638200000002E-2</v>
      </c>
      <c r="I145" s="7">
        <v>8.8823719000000009E-2</v>
      </c>
      <c r="J145" s="7">
        <v>9.5964384099999994E-2</v>
      </c>
      <c r="K145" s="7">
        <v>0.10116329189999999</v>
      </c>
      <c r="L145" s="7">
        <v>9.7957382199999998E-2</v>
      </c>
      <c r="M145" s="7">
        <v>0.10087993620000001</v>
      </c>
      <c r="N145" s="7">
        <v>0.1128867626</v>
      </c>
      <c r="O145" s="7">
        <v>0.11050727840000001</v>
      </c>
      <c r="P145" s="7">
        <v>0.1098243332</v>
      </c>
      <c r="Q145" s="7">
        <v>0.1152522659</v>
      </c>
      <c r="R145" s="7">
        <v>0.1173864746</v>
      </c>
      <c r="S145" s="7">
        <v>0.1211640549</v>
      </c>
      <c r="T145" s="7">
        <v>0.12695315360000001</v>
      </c>
      <c r="U145" s="7">
        <v>0.13171360970000001</v>
      </c>
      <c r="V145" s="7">
        <v>0.13712175369999999</v>
      </c>
      <c r="W145" s="7">
        <v>0.13886663439999999</v>
      </c>
      <c r="X145" s="7">
        <v>0.13012640950000001</v>
      </c>
      <c r="Y145" s="7">
        <v>0.14347338679999999</v>
      </c>
      <c r="Z145" s="7">
        <v>0.14919085500000001</v>
      </c>
      <c r="AA145" s="7">
        <v>0.1561732197</v>
      </c>
      <c r="AB145" s="7">
        <v>0.1550042915</v>
      </c>
      <c r="AC145" s="9">
        <f t="shared" si="16"/>
        <v>0.1550042915</v>
      </c>
      <c r="AD145" s="10" t="str">
        <f t="shared" si="17"/>
        <v>2024</v>
      </c>
      <c r="AE145" s="9">
        <f t="shared" si="18"/>
        <v>0.14547246614999998</v>
      </c>
      <c r="AF145" s="9">
        <f t="shared" si="19"/>
        <v>0</v>
      </c>
    </row>
    <row r="146" spans="1:32" x14ac:dyDescent="0.2">
      <c r="A146" s="6" t="s">
        <v>144</v>
      </c>
      <c r="B146" s="6" t="s">
        <v>145</v>
      </c>
      <c r="C146" s="6"/>
      <c r="D146" s="7">
        <v>8.5279445600000003E-2</v>
      </c>
      <c r="E146" s="7">
        <v>9.7118463499999988E-2</v>
      </c>
      <c r="F146" s="7">
        <v>0.1153735256</v>
      </c>
      <c r="G146" s="7">
        <v>9.5935363799999993E-2</v>
      </c>
      <c r="H146" s="7">
        <v>0.15250319479999999</v>
      </c>
      <c r="I146" s="7">
        <v>0.13576660160000001</v>
      </c>
      <c r="J146" s="7">
        <v>0.12890508649999999</v>
      </c>
      <c r="K146" s="7">
        <v>0.13181109429999999</v>
      </c>
      <c r="L146" s="7">
        <v>0.12721592900000001</v>
      </c>
      <c r="M146" s="7">
        <v>0.1287592316</v>
      </c>
      <c r="N146" s="7">
        <v>0.13626919749999999</v>
      </c>
      <c r="O146" s="7">
        <v>0.13036990170000001</v>
      </c>
      <c r="P146" s="7">
        <v>0.1317397022</v>
      </c>
      <c r="Q146" s="7">
        <v>0.1249917507</v>
      </c>
      <c r="R146" s="7">
        <v>0.1275728226</v>
      </c>
      <c r="S146" s="7">
        <v>0.1221473503</v>
      </c>
      <c r="T146" s="7">
        <v>0.12208033560000001</v>
      </c>
      <c r="U146" s="7">
        <v>0.11645920749999999</v>
      </c>
      <c r="V146" s="7">
        <v>0.1202570248</v>
      </c>
      <c r="W146" s="7">
        <v>0.121204834</v>
      </c>
      <c r="X146" s="7">
        <v>0.12376142499999999</v>
      </c>
      <c r="Y146" s="7">
        <v>0.14621914859999999</v>
      </c>
      <c r="Z146" s="7">
        <v>0.1234735298</v>
      </c>
      <c r="AA146" s="7">
        <v>0.120681181</v>
      </c>
      <c r="AB146" s="7"/>
      <c r="AC146" s="9">
        <f t="shared" si="16"/>
        <v>0.120681181</v>
      </c>
      <c r="AD146" s="10" t="str">
        <f t="shared" si="17"/>
        <v>2023</v>
      </c>
      <c r="AE146" s="9">
        <f t="shared" si="18"/>
        <v>0.12706802368</v>
      </c>
      <c r="AF146" s="9">
        <f t="shared" si="19"/>
        <v>2.9318818999999996E-2</v>
      </c>
    </row>
    <row r="147" spans="1:32" x14ac:dyDescent="0.2">
      <c r="A147" s="6" t="s">
        <v>353</v>
      </c>
      <c r="B147" s="6" t="s">
        <v>354</v>
      </c>
      <c r="C147" s="6"/>
      <c r="D147" s="7">
        <v>8.6573963200000006E-2</v>
      </c>
      <c r="E147" s="7">
        <v>9.6056709299999987E-2</v>
      </c>
      <c r="F147" s="7">
        <v>0.1054747868</v>
      </c>
      <c r="G147" s="7">
        <v>0.12998044010000001</v>
      </c>
      <c r="H147" s="7">
        <v>0.1196030045</v>
      </c>
      <c r="I147" s="7">
        <v>0.13163467409999999</v>
      </c>
      <c r="J147" s="7">
        <v>0.1128106403</v>
      </c>
      <c r="K147" s="7">
        <v>0.1090507507</v>
      </c>
      <c r="L147" s="7">
        <v>0.1079983711</v>
      </c>
      <c r="M147" s="7">
        <v>0.1044604111</v>
      </c>
      <c r="N147" s="7">
        <v>0.11446243289999999</v>
      </c>
      <c r="O147" s="7">
        <v>8.8460893599999993E-2</v>
      </c>
      <c r="P147" s="7">
        <v>9.6076278700000003E-2</v>
      </c>
      <c r="Q147" s="7">
        <v>0.11520751</v>
      </c>
      <c r="R147" s="7">
        <v>0.1116535473</v>
      </c>
      <c r="S147" s="7">
        <v>0.1073946667</v>
      </c>
      <c r="T147" s="7">
        <v>0.1141569424</v>
      </c>
      <c r="U147" s="7">
        <v>0.1215092087</v>
      </c>
      <c r="V147" s="7">
        <v>0.12802165030000001</v>
      </c>
      <c r="W147" s="7">
        <v>0.12665287019999999</v>
      </c>
      <c r="X147" s="7">
        <v>0.11990798950000001</v>
      </c>
      <c r="Y147" s="7">
        <v>0.1227709198</v>
      </c>
      <c r="Z147" s="7">
        <v>0.110652771</v>
      </c>
      <c r="AA147" s="7">
        <v>0.10659433359999999</v>
      </c>
      <c r="AB147" s="7"/>
      <c r="AC147" s="9">
        <f t="shared" si="16"/>
        <v>0.10659433359999999</v>
      </c>
      <c r="AD147" s="10" t="str">
        <f t="shared" si="17"/>
        <v>2023</v>
      </c>
      <c r="AE147" s="9">
        <f t="shared" si="18"/>
        <v>0.11731577682000001</v>
      </c>
      <c r="AF147" s="9">
        <f t="shared" si="19"/>
        <v>4.3405666400000001E-2</v>
      </c>
    </row>
    <row r="148" spans="1:32" x14ac:dyDescent="0.2">
      <c r="A148" s="6" t="s">
        <v>355</v>
      </c>
      <c r="B148" s="6" t="s">
        <v>356</v>
      </c>
      <c r="C148" s="6"/>
      <c r="D148" s="7">
        <v>9.721296309999998E-2</v>
      </c>
      <c r="E148" s="7">
        <v>9.6713314100000003E-2</v>
      </c>
      <c r="F148" s="7">
        <v>9.5189266200000025E-2</v>
      </c>
      <c r="G148" s="7">
        <v>9.20299911E-2</v>
      </c>
      <c r="H148" s="7">
        <v>9.4420700100000005E-2</v>
      </c>
      <c r="I148" s="7">
        <v>9.9045181299999993E-2</v>
      </c>
      <c r="J148" s="7">
        <v>0.1013223743</v>
      </c>
      <c r="K148" s="7">
        <v>9.224008559999998E-2</v>
      </c>
      <c r="L148" s="7">
        <v>9.5938224799999985E-2</v>
      </c>
      <c r="M148" s="7">
        <v>9.0760564800000013E-2</v>
      </c>
      <c r="N148" s="7">
        <v>8.5938329699999996E-2</v>
      </c>
      <c r="O148" s="7">
        <v>9.0316686599999987E-2</v>
      </c>
      <c r="P148" s="7">
        <v>9.2417221099999974E-2</v>
      </c>
      <c r="Q148" s="7">
        <v>9.1469545400000032E-2</v>
      </c>
      <c r="R148" s="7">
        <v>9.1642894700000005E-2</v>
      </c>
      <c r="S148" s="7">
        <v>8.81614971E-2</v>
      </c>
      <c r="T148" s="7">
        <v>8.2339458500000018E-2</v>
      </c>
      <c r="U148" s="7">
        <v>8.783560750000001E-2</v>
      </c>
      <c r="V148" s="7">
        <v>9.7606620799999988E-2</v>
      </c>
      <c r="W148" s="7">
        <v>0.1019961929</v>
      </c>
      <c r="X148" s="7">
        <v>0.1501321125</v>
      </c>
      <c r="Y148" s="7">
        <v>0.1399600124</v>
      </c>
      <c r="Z148" s="7">
        <v>0.13740227699999999</v>
      </c>
      <c r="AA148" s="7">
        <v>0.136688633</v>
      </c>
      <c r="AB148" s="7"/>
      <c r="AC148" s="9">
        <f t="shared" si="16"/>
        <v>0.136688633</v>
      </c>
      <c r="AD148" s="10" t="str">
        <f t="shared" si="17"/>
        <v>2023</v>
      </c>
      <c r="AE148" s="9">
        <f t="shared" si="18"/>
        <v>0.13323584555999998</v>
      </c>
      <c r="AF148" s="9">
        <f t="shared" si="19"/>
        <v>1.3311366999999991E-2</v>
      </c>
    </row>
    <row r="149" spans="1:32" x14ac:dyDescent="0.2">
      <c r="A149" s="6" t="s">
        <v>146</v>
      </c>
      <c r="B149" s="6" t="s">
        <v>147</v>
      </c>
      <c r="C149" s="6" t="s">
        <v>49</v>
      </c>
      <c r="D149" s="7">
        <v>3.5436115299999987E-2</v>
      </c>
      <c r="E149" s="7">
        <v>3.6613051899999999E-2</v>
      </c>
      <c r="F149" s="7">
        <v>3.7057266200000001E-2</v>
      </c>
      <c r="G149" s="7">
        <v>0.12454895019999999</v>
      </c>
      <c r="H149" s="7">
        <v>0.1078895473</v>
      </c>
      <c r="I149" s="7">
        <v>8.0927190800000007E-2</v>
      </c>
      <c r="J149" s="7">
        <v>7.2027006099999985E-2</v>
      </c>
      <c r="K149" s="7">
        <v>7.7929072400000007E-2</v>
      </c>
      <c r="L149" s="7">
        <v>8.0763215999999985E-2</v>
      </c>
      <c r="M149" s="7">
        <v>8.4302444500000004E-2</v>
      </c>
      <c r="N149" s="7">
        <v>8.5564241400000005E-2</v>
      </c>
      <c r="O149" s="7">
        <v>8.9006795899999991E-2</v>
      </c>
      <c r="P149" s="7">
        <v>8.3630180400000004E-2</v>
      </c>
      <c r="Q149" s="7">
        <v>8.3041181599999986E-2</v>
      </c>
      <c r="R149" s="7">
        <v>7.981906409999999E-2</v>
      </c>
      <c r="S149" s="7">
        <v>7.9149455999999979E-2</v>
      </c>
      <c r="T149" s="7">
        <v>6.2302460700000013E-2</v>
      </c>
      <c r="U149" s="8">
        <v>6.2302460700000013E-2</v>
      </c>
      <c r="V149" s="8">
        <v>6.2302460700000013E-2</v>
      </c>
      <c r="W149" s="7">
        <v>6.2761535600000001E-2</v>
      </c>
      <c r="X149" s="7">
        <v>6.3912997200000016E-2</v>
      </c>
      <c r="Y149" s="7">
        <v>8.3519449199999998E-2</v>
      </c>
      <c r="Z149" s="7">
        <v>8.2025327700000011E-2</v>
      </c>
      <c r="AA149" s="7">
        <v>8.9230985599999979E-2</v>
      </c>
      <c r="AB149" s="7"/>
      <c r="AC149" s="9">
        <f t="shared" si="16"/>
        <v>8.9230985599999979E-2</v>
      </c>
      <c r="AD149" s="10" t="str">
        <f t="shared" si="17"/>
        <v>2023</v>
      </c>
      <c r="AE149" s="9">
        <f t="shared" si="18"/>
        <v>7.6290059059999998E-2</v>
      </c>
      <c r="AF149" s="9">
        <f t="shared" si="19"/>
        <v>6.0769014400000015E-2</v>
      </c>
    </row>
    <row r="150" spans="1:32" x14ac:dyDescent="0.2">
      <c r="A150" s="6" t="s">
        <v>357</v>
      </c>
      <c r="B150" s="6" t="s">
        <v>358</v>
      </c>
      <c r="C150" s="6"/>
      <c r="D150" s="7">
        <v>5.8061418499999989E-2</v>
      </c>
      <c r="E150" s="7">
        <v>6.2154874800000003E-2</v>
      </c>
      <c r="F150" s="7">
        <v>5.44581175E-2</v>
      </c>
      <c r="G150" s="7">
        <v>6.7934422500000008E-2</v>
      </c>
      <c r="H150" s="7">
        <v>6.4168639200000002E-2</v>
      </c>
      <c r="I150" s="7">
        <v>6.408216479999998E-2</v>
      </c>
      <c r="J150" s="7">
        <v>6.857593540000001E-2</v>
      </c>
      <c r="K150" s="7">
        <v>6.4828987100000013E-2</v>
      </c>
      <c r="L150" s="7">
        <v>6.0901055299999979E-2</v>
      </c>
      <c r="M150" s="7">
        <v>6.49729109E-2</v>
      </c>
      <c r="N150" s="7">
        <v>6.3036737400000001E-2</v>
      </c>
      <c r="O150" s="7">
        <v>6.3433375400000006E-2</v>
      </c>
      <c r="P150" s="7">
        <v>7.2399425499999989E-2</v>
      </c>
      <c r="Q150" s="7">
        <v>6.7225980799999988E-2</v>
      </c>
      <c r="R150" s="7">
        <v>6.9582462299999981E-2</v>
      </c>
      <c r="S150" s="7">
        <v>6.6783680900000017E-2</v>
      </c>
      <c r="T150" s="7">
        <v>8.3721065500000011E-2</v>
      </c>
      <c r="U150" s="7">
        <v>8.6002016100000009E-2</v>
      </c>
      <c r="V150" s="7">
        <v>6.6684742000000005E-2</v>
      </c>
      <c r="W150" s="7">
        <v>6.8637371099999997E-2</v>
      </c>
      <c r="X150" s="7">
        <v>8.3452463199999993E-2</v>
      </c>
      <c r="Y150" s="7">
        <v>8.614499090000001E-2</v>
      </c>
      <c r="Z150" s="7">
        <v>5.880789279999999E-2</v>
      </c>
      <c r="AA150" s="7">
        <v>7.1873788800000019E-2</v>
      </c>
      <c r="AB150" s="7"/>
      <c r="AC150" s="9">
        <f t="shared" si="16"/>
        <v>7.1873788800000019E-2</v>
      </c>
      <c r="AD150" s="10" t="str">
        <f t="shared" si="17"/>
        <v>2023</v>
      </c>
      <c r="AE150" s="9">
        <f t="shared" si="18"/>
        <v>7.3783301359999998E-2</v>
      </c>
      <c r="AF150" s="9">
        <f t="shared" si="19"/>
        <v>7.8126211199999976E-2</v>
      </c>
    </row>
    <row r="151" spans="1:32" x14ac:dyDescent="0.2">
      <c r="A151" s="6" t="s">
        <v>359</v>
      </c>
      <c r="B151" s="6" t="s">
        <v>360</v>
      </c>
      <c r="C151" s="6"/>
      <c r="D151" s="7">
        <v>8.0855312299999996E-2</v>
      </c>
      <c r="E151" s="7">
        <v>8.0910224900000008E-2</v>
      </c>
      <c r="F151" s="7">
        <v>7.7668461800000005E-2</v>
      </c>
      <c r="G151" s="7">
        <v>7.1625285100000019E-2</v>
      </c>
      <c r="H151" s="7">
        <v>6.8646893499999986E-2</v>
      </c>
      <c r="I151" s="7">
        <v>6.1630129800000003E-2</v>
      </c>
      <c r="J151" s="7">
        <v>6.3106760999999997E-2</v>
      </c>
      <c r="K151" s="7">
        <v>6.9020738599999992E-2</v>
      </c>
      <c r="L151" s="7">
        <v>7.2154650700000003E-2</v>
      </c>
      <c r="M151" s="7">
        <v>7.3978314399999995E-2</v>
      </c>
      <c r="N151" s="7">
        <v>6.9811310800000012E-2</v>
      </c>
      <c r="O151" s="7">
        <v>6.7302885099999987E-2</v>
      </c>
      <c r="P151" s="7">
        <v>7.2839374500000012E-2</v>
      </c>
      <c r="Q151" s="7">
        <v>8.1599607500000004E-2</v>
      </c>
      <c r="R151" s="7">
        <v>8.1174611999999993E-2</v>
      </c>
      <c r="S151" s="7">
        <v>8.4032325700000007E-2</v>
      </c>
      <c r="T151" s="7">
        <v>8.5158090599999986E-2</v>
      </c>
      <c r="U151" s="7">
        <v>8.7464055999999998E-2</v>
      </c>
      <c r="V151" s="7">
        <v>8.5181188599999971E-2</v>
      </c>
      <c r="W151" s="7">
        <v>8.2794198999999985E-2</v>
      </c>
      <c r="X151" s="7">
        <v>8.5996046099999987E-2</v>
      </c>
      <c r="Y151" s="7">
        <v>0.1001902866</v>
      </c>
      <c r="Z151" s="7">
        <v>9.8774910000000007E-2</v>
      </c>
      <c r="AA151" s="7">
        <v>9.7861204099999988E-2</v>
      </c>
      <c r="AB151" s="7"/>
      <c r="AC151" s="9">
        <f t="shared" si="16"/>
        <v>9.7861204099999988E-2</v>
      </c>
      <c r="AD151" s="10" t="str">
        <f t="shared" si="17"/>
        <v>2023</v>
      </c>
      <c r="AE151" s="9">
        <f t="shared" si="18"/>
        <v>9.312332915999999E-2</v>
      </c>
      <c r="AF151" s="9">
        <f t="shared" si="19"/>
        <v>5.2138795900000007E-2</v>
      </c>
    </row>
    <row r="152" spans="1:32" x14ac:dyDescent="0.2">
      <c r="A152" s="6" t="s">
        <v>361</v>
      </c>
      <c r="B152" s="6" t="s">
        <v>362</v>
      </c>
      <c r="C152" s="6"/>
      <c r="D152" s="7">
        <v>0.1168052864</v>
      </c>
      <c r="E152" s="7">
        <v>0.1123740292</v>
      </c>
      <c r="F152" s="7">
        <v>0.10865002629999999</v>
      </c>
      <c r="G152" s="7">
        <v>0.1012181568</v>
      </c>
      <c r="H152" s="7">
        <v>9.9331979800000011E-2</v>
      </c>
      <c r="I152" s="7">
        <v>9.0088911100000002E-2</v>
      </c>
      <c r="J152" s="7">
        <v>8.3332223900000002E-2</v>
      </c>
      <c r="K152" s="7">
        <v>7.8595757499999988E-2</v>
      </c>
      <c r="L152" s="7">
        <v>8.1541309399999998E-2</v>
      </c>
      <c r="M152" s="7">
        <v>8.0654239700000019E-2</v>
      </c>
      <c r="N152" s="7">
        <v>8.2072944600000003E-2</v>
      </c>
      <c r="O152" s="7">
        <v>8.1596822700000016E-2</v>
      </c>
      <c r="P152" s="7">
        <v>0.10482495310000001</v>
      </c>
      <c r="Q152" s="7">
        <v>9.0722036400000011E-2</v>
      </c>
      <c r="R152" s="7">
        <v>8.3266649199999987E-2</v>
      </c>
      <c r="S152" s="7">
        <v>9.1534891099999988E-2</v>
      </c>
      <c r="T152" s="7">
        <v>9.5569658299999999E-2</v>
      </c>
      <c r="U152" s="7">
        <v>0.1010502338</v>
      </c>
      <c r="V152" s="7">
        <v>0.1064669037</v>
      </c>
      <c r="W152" s="7">
        <v>9.8536090900000012E-2</v>
      </c>
      <c r="X152" s="7">
        <v>9.9668235800000005E-2</v>
      </c>
      <c r="Y152" s="7">
        <v>9.5972499800000013E-2</v>
      </c>
      <c r="Z152" s="7">
        <v>8.701748849999999E-2</v>
      </c>
      <c r="AA152" s="7">
        <v>7.8898572900000005E-2</v>
      </c>
      <c r="AB152" s="7"/>
      <c r="AC152" s="9">
        <f t="shared" si="16"/>
        <v>7.8898572900000005E-2</v>
      </c>
      <c r="AD152" s="10" t="str">
        <f t="shared" si="17"/>
        <v>2023</v>
      </c>
      <c r="AE152" s="9">
        <f t="shared" si="18"/>
        <v>9.2018577580000011E-2</v>
      </c>
      <c r="AF152" s="9">
        <f t="shared" si="19"/>
        <v>7.1101427099999989E-2</v>
      </c>
    </row>
    <row r="153" spans="1:32" x14ac:dyDescent="0.2">
      <c r="A153" s="6" t="s">
        <v>363</v>
      </c>
      <c r="B153" s="6" t="s">
        <v>364</v>
      </c>
      <c r="C153" s="6"/>
      <c r="D153" s="7">
        <v>0.11796875</v>
      </c>
      <c r="E153" s="7">
        <v>0.1039145947</v>
      </c>
      <c r="F153" s="7">
        <v>0.1110032368</v>
      </c>
      <c r="G153" s="7">
        <v>9.8737859700000014E-2</v>
      </c>
      <c r="H153" s="7">
        <v>0.1103975582</v>
      </c>
      <c r="I153" s="7">
        <v>0.10404938699999999</v>
      </c>
      <c r="J153" s="7">
        <v>0.12417721750000001</v>
      </c>
      <c r="K153" s="7">
        <v>0.1055648518</v>
      </c>
      <c r="L153" s="7">
        <v>0.12518671989999999</v>
      </c>
      <c r="M153" s="7">
        <v>0.12670886040000001</v>
      </c>
      <c r="N153" s="7">
        <v>0.1322879696</v>
      </c>
      <c r="O153" s="7">
        <v>0.10891304020000001</v>
      </c>
      <c r="P153" s="7">
        <v>0.1164214039</v>
      </c>
      <c r="Q153" s="7">
        <v>0.13118406299999999</v>
      </c>
      <c r="R153" s="7">
        <v>0.1379793644</v>
      </c>
      <c r="S153" s="7">
        <v>0.13770232199999999</v>
      </c>
      <c r="T153" s="7">
        <v>0.13939927099999999</v>
      </c>
      <c r="U153" s="7">
        <v>0.1270851231</v>
      </c>
      <c r="V153" s="7">
        <v>0.1232514381</v>
      </c>
      <c r="W153" s="7">
        <v>0.1361375618</v>
      </c>
      <c r="X153" s="7">
        <v>0.145670929</v>
      </c>
      <c r="Y153" s="7">
        <v>0.1463305664</v>
      </c>
      <c r="Z153" s="7">
        <v>0.14612712859999999</v>
      </c>
      <c r="AA153" s="7">
        <v>0.1463303661</v>
      </c>
      <c r="AB153" s="7"/>
      <c r="AC153" s="9">
        <f t="shared" si="16"/>
        <v>0.1463303661</v>
      </c>
      <c r="AD153" s="10" t="str">
        <f t="shared" si="17"/>
        <v>2023</v>
      </c>
      <c r="AE153" s="9">
        <f t="shared" si="18"/>
        <v>0.14411931037999998</v>
      </c>
      <c r="AF153" s="9">
        <f t="shared" si="19"/>
        <v>3.6696338999999967E-3</v>
      </c>
    </row>
    <row r="154" spans="1:32" x14ac:dyDescent="0.2">
      <c r="A154" s="6" t="s">
        <v>365</v>
      </c>
      <c r="B154" s="6" t="s">
        <v>366</v>
      </c>
      <c r="C154" s="6"/>
      <c r="D154" s="7">
        <v>0.1972222136999999</v>
      </c>
      <c r="E154" s="8">
        <v>0.1972222136999999</v>
      </c>
      <c r="F154" s="8">
        <v>0.1972222136999999</v>
      </c>
      <c r="G154" s="8">
        <v>0.1972222136999999</v>
      </c>
      <c r="H154" s="8">
        <v>0.1972222136999999</v>
      </c>
      <c r="I154" s="8">
        <v>0.1972222136999999</v>
      </c>
      <c r="J154" s="8">
        <v>0.1972222136999999</v>
      </c>
      <c r="K154" s="8">
        <v>0.1972222136999999</v>
      </c>
      <c r="L154" s="8">
        <v>0.1972222136999999</v>
      </c>
      <c r="M154" s="7">
        <v>0.20108695979999999</v>
      </c>
      <c r="N154" s="7">
        <v>0.21965318680000001</v>
      </c>
      <c r="O154" s="7">
        <v>0.28198110580000002</v>
      </c>
      <c r="P154" s="7">
        <v>0.2605867577</v>
      </c>
      <c r="Q154" s="7">
        <v>0.24339967730000001</v>
      </c>
      <c r="R154" s="7">
        <v>0.30790916439999999</v>
      </c>
      <c r="S154" s="7">
        <v>0.27734735490000001</v>
      </c>
      <c r="T154" s="7">
        <v>0.31491830830000012</v>
      </c>
      <c r="U154" s="7">
        <v>0.28298223500000003</v>
      </c>
      <c r="V154" s="7">
        <v>0.2998806953</v>
      </c>
      <c r="W154" s="7">
        <v>0.32239261629999999</v>
      </c>
      <c r="X154" s="7">
        <v>0.12863698009999999</v>
      </c>
      <c r="Y154" s="7">
        <v>0.1785217285</v>
      </c>
      <c r="Z154" s="7">
        <v>0.29509141919999998</v>
      </c>
      <c r="AA154" s="7">
        <v>0.26197807309999988</v>
      </c>
      <c r="AB154" s="7"/>
      <c r="AC154" s="9">
        <f t="shared" si="16"/>
        <v>0.26197807309999988</v>
      </c>
      <c r="AD154" s="10" t="str">
        <f t="shared" si="17"/>
        <v>2023</v>
      </c>
      <c r="AE154" s="9">
        <f t="shared" si="18"/>
        <v>0.23732416343999999</v>
      </c>
      <c r="AF154" s="9">
        <f t="shared" si="19"/>
        <v>0</v>
      </c>
    </row>
    <row r="155" spans="1:32" x14ac:dyDescent="0.2">
      <c r="A155" s="6" t="s">
        <v>148</v>
      </c>
      <c r="B155" s="6" t="s">
        <v>149</v>
      </c>
      <c r="C155" s="6"/>
      <c r="D155" s="7">
        <v>0.32571323390000001</v>
      </c>
      <c r="E155" s="7">
        <v>7.0269260400000005E-2</v>
      </c>
      <c r="F155" s="7">
        <v>8.5408086800000019E-2</v>
      </c>
      <c r="G155" s="7">
        <v>0.1167833424</v>
      </c>
      <c r="H155" s="7">
        <v>8.5635900500000015E-2</v>
      </c>
      <c r="I155" s="7">
        <v>0.1151896095</v>
      </c>
      <c r="J155" s="7">
        <v>1.6916550400000001E-2</v>
      </c>
      <c r="K155" s="7">
        <v>4.2763843499999989E-2</v>
      </c>
      <c r="L155" s="7">
        <v>4.0179758099999997E-2</v>
      </c>
      <c r="M155" s="7">
        <v>3.2723731999999998E-2</v>
      </c>
      <c r="N155" s="7">
        <v>4.1002845799999993E-2</v>
      </c>
      <c r="O155" s="7">
        <v>4.3093619299999997E-2</v>
      </c>
      <c r="P155" s="7">
        <v>4.5668697399999993E-2</v>
      </c>
      <c r="Q155" s="7">
        <v>8.4400892300000016E-2</v>
      </c>
      <c r="R155" s="7">
        <v>7.7758140599999997E-2</v>
      </c>
      <c r="S155" s="7">
        <v>4.9368410100000003E-2</v>
      </c>
      <c r="T155" s="7">
        <v>8.002157209999998E-2</v>
      </c>
      <c r="U155" s="7">
        <v>0.10762633319999999</v>
      </c>
      <c r="V155" s="7">
        <v>9.3856687500000008E-2</v>
      </c>
      <c r="W155" s="7">
        <v>9.7778043700000025E-2</v>
      </c>
      <c r="X155" s="7">
        <v>0.12803995130000001</v>
      </c>
      <c r="Y155" s="7">
        <v>0.1314262199</v>
      </c>
      <c r="Z155" s="7">
        <v>8.3445749299999983E-2</v>
      </c>
      <c r="AA155" s="7">
        <v>8.7735280999999998E-2</v>
      </c>
      <c r="AB155" s="7"/>
      <c r="AC155" s="9">
        <f t="shared" si="16"/>
        <v>8.7735280999999998E-2</v>
      </c>
      <c r="AD155" s="10" t="str">
        <f t="shared" si="17"/>
        <v>2023</v>
      </c>
      <c r="AE155" s="9">
        <f t="shared" si="18"/>
        <v>0.10568504904000001</v>
      </c>
      <c r="AF155" s="9">
        <f t="shared" si="19"/>
        <v>6.2264718999999996E-2</v>
      </c>
    </row>
    <row r="156" spans="1:32" x14ac:dyDescent="0.2">
      <c r="A156" s="6" t="s">
        <v>367</v>
      </c>
      <c r="B156" s="6" t="s">
        <v>368</v>
      </c>
      <c r="C156" s="6"/>
      <c r="D156" s="7">
        <v>9.1586646999999993E-2</v>
      </c>
      <c r="E156" s="7">
        <v>8.7618741999999999E-2</v>
      </c>
      <c r="F156" s="7">
        <v>8.5682354000000002E-2</v>
      </c>
      <c r="G156" s="7">
        <v>8.6962690400000001E-2</v>
      </c>
      <c r="H156" s="7">
        <v>8.2389793400000022E-2</v>
      </c>
      <c r="I156" s="7">
        <v>8.8039112099999983E-2</v>
      </c>
      <c r="J156" s="7">
        <v>9.6864118600000021E-2</v>
      </c>
      <c r="K156" s="7">
        <v>8.5132427200000013E-2</v>
      </c>
      <c r="L156" s="7">
        <v>7.0818190600000011E-2</v>
      </c>
      <c r="M156" s="7">
        <v>7.522412299999999E-2</v>
      </c>
      <c r="N156" s="7">
        <v>6.843700409999999E-2</v>
      </c>
      <c r="O156" s="7">
        <v>7.5798959700000001E-2</v>
      </c>
      <c r="P156" s="7">
        <v>8.2590675400000008E-2</v>
      </c>
      <c r="Q156" s="7">
        <v>8.7478666300000008E-2</v>
      </c>
      <c r="R156" s="7">
        <v>9.2780752200000011E-2</v>
      </c>
      <c r="S156" s="7">
        <v>0.1006429672</v>
      </c>
      <c r="T156" s="7">
        <v>0.12606357570000001</v>
      </c>
      <c r="U156" s="7">
        <v>0.13513157840000001</v>
      </c>
      <c r="V156" s="7">
        <v>0.11048899650000001</v>
      </c>
      <c r="W156" s="7">
        <v>0.1197922897</v>
      </c>
      <c r="X156" s="7">
        <v>0.1331901741</v>
      </c>
      <c r="Y156" s="7">
        <v>0.1440493202</v>
      </c>
      <c r="Z156" s="7">
        <v>0.14511051180000001</v>
      </c>
      <c r="AA156" s="7">
        <v>0.13691430090000001</v>
      </c>
      <c r="AB156" s="7"/>
      <c r="AC156" s="9">
        <f t="shared" si="16"/>
        <v>0.13691430090000001</v>
      </c>
      <c r="AD156" s="10" t="str">
        <f t="shared" si="17"/>
        <v>2023</v>
      </c>
      <c r="AE156" s="9">
        <f t="shared" si="18"/>
        <v>0.13581131933999999</v>
      </c>
      <c r="AF156" s="9">
        <f t="shared" si="19"/>
        <v>1.3085699099999987E-2</v>
      </c>
    </row>
    <row r="157" spans="1:32" x14ac:dyDescent="0.2">
      <c r="A157" s="6" t="s">
        <v>150</v>
      </c>
      <c r="B157" s="6" t="s">
        <v>151</v>
      </c>
      <c r="C157" s="6"/>
      <c r="D157" s="7">
        <v>8.9599494900000021E-2</v>
      </c>
      <c r="E157" s="7">
        <v>9.010532379999997E-2</v>
      </c>
      <c r="F157" s="7">
        <v>8.6363592099999983E-2</v>
      </c>
      <c r="G157" s="7">
        <v>9.0478830299999993E-2</v>
      </c>
      <c r="H157" s="7">
        <v>8.9669704400000008E-2</v>
      </c>
      <c r="I157" s="7">
        <v>8.5441350900000004E-2</v>
      </c>
      <c r="J157" s="7">
        <v>8.2667284000000021E-2</v>
      </c>
      <c r="K157" s="7">
        <v>5.9480786299999998E-2</v>
      </c>
      <c r="L157" s="7">
        <v>6.6248149900000011E-2</v>
      </c>
      <c r="M157" s="7">
        <v>6.6602740299999977E-2</v>
      </c>
      <c r="N157" s="7">
        <v>5.3533253700000012E-2</v>
      </c>
      <c r="O157" s="7">
        <v>5.6281166100000009E-2</v>
      </c>
      <c r="P157" s="7">
        <v>5.3075590099999993E-2</v>
      </c>
      <c r="Q157" s="7">
        <v>5.2999319999999989E-2</v>
      </c>
      <c r="R157" s="7">
        <v>4.6755113600000002E-2</v>
      </c>
      <c r="S157" s="7">
        <v>4.6987032900000003E-2</v>
      </c>
      <c r="T157" s="7">
        <v>4.45693302E-2</v>
      </c>
      <c r="U157" s="7">
        <v>4.4990048400000003E-2</v>
      </c>
      <c r="V157" s="7">
        <v>4.9615187599999999E-2</v>
      </c>
      <c r="W157" s="7">
        <v>3.5002796599999997E-2</v>
      </c>
      <c r="X157" s="7">
        <v>5.84758186E-2</v>
      </c>
      <c r="Y157" s="7">
        <v>3.8772430400000002E-2</v>
      </c>
      <c r="Z157" s="7">
        <v>3.3444905300000001E-2</v>
      </c>
      <c r="AA157" s="7">
        <v>3.574546339999999E-2</v>
      </c>
      <c r="AB157" s="7"/>
      <c r="AC157" s="9">
        <f t="shared" si="16"/>
        <v>3.574546339999999E-2</v>
      </c>
      <c r="AD157" s="10" t="str">
        <f t="shared" si="17"/>
        <v>2023</v>
      </c>
      <c r="AE157" s="9">
        <f t="shared" si="18"/>
        <v>4.0288282859999996E-2</v>
      </c>
      <c r="AF157" s="9">
        <f t="shared" si="19"/>
        <v>0.11425453660000001</v>
      </c>
    </row>
    <row r="158" spans="1:32" x14ac:dyDescent="0.2">
      <c r="A158" s="6" t="s">
        <v>369</v>
      </c>
      <c r="B158" s="6" t="s">
        <v>370</v>
      </c>
      <c r="C158" s="6"/>
      <c r="D158" s="7">
        <v>0.1356817055</v>
      </c>
      <c r="E158" s="8">
        <v>0.1356817055</v>
      </c>
      <c r="F158" s="8">
        <v>0.1356817055</v>
      </c>
      <c r="G158" s="7">
        <v>0.13563518520000001</v>
      </c>
      <c r="H158" s="7">
        <v>0.13705598829999999</v>
      </c>
      <c r="I158" s="7">
        <v>0.1361884022</v>
      </c>
      <c r="J158" s="7">
        <v>0.1253220367</v>
      </c>
      <c r="K158" s="7">
        <v>0.13558921809999999</v>
      </c>
      <c r="L158" s="7">
        <v>0.12929559709999999</v>
      </c>
      <c r="M158" s="7">
        <v>0.1346972656</v>
      </c>
      <c r="N158" s="7">
        <v>0.13561466220000001</v>
      </c>
      <c r="O158" s="7">
        <v>0.13378961559999999</v>
      </c>
      <c r="P158" s="7">
        <v>0.12839070320000001</v>
      </c>
      <c r="Q158" s="7">
        <v>0.13174777030000001</v>
      </c>
      <c r="R158" s="7">
        <v>0.1202126503</v>
      </c>
      <c r="S158" s="7">
        <v>0.11918011670000001</v>
      </c>
      <c r="T158" s="7">
        <v>0.11648644449999999</v>
      </c>
      <c r="U158" s="7">
        <v>0.1178833294</v>
      </c>
      <c r="V158" s="7">
        <v>0.12448494910000001</v>
      </c>
      <c r="W158" s="7">
        <v>0.1203067684</v>
      </c>
      <c r="X158" s="7">
        <v>0.10999547</v>
      </c>
      <c r="Y158" s="7">
        <v>0.136076746</v>
      </c>
      <c r="Z158" s="7">
        <v>0.1395386887</v>
      </c>
      <c r="AA158" s="7">
        <v>0.12965661049999999</v>
      </c>
      <c r="AB158" s="7"/>
      <c r="AC158" s="9">
        <f t="shared" si="16"/>
        <v>0.12965661049999999</v>
      </c>
      <c r="AD158" s="10" t="str">
        <f t="shared" si="17"/>
        <v>2023</v>
      </c>
      <c r="AE158" s="9">
        <f t="shared" si="18"/>
        <v>0.12711485672</v>
      </c>
      <c r="AF158" s="9">
        <f t="shared" si="19"/>
        <v>2.0343389500000003E-2</v>
      </c>
    </row>
    <row r="159" spans="1:32" x14ac:dyDescent="0.2">
      <c r="A159" s="6" t="s">
        <v>371</v>
      </c>
      <c r="B159" s="6" t="s">
        <v>372</v>
      </c>
      <c r="C159" s="6"/>
      <c r="D159" s="7">
        <v>6.8310222599999998E-2</v>
      </c>
      <c r="E159" s="7">
        <v>8.0257759100000006E-2</v>
      </c>
      <c r="F159" s="7">
        <v>6.4561076199999998E-2</v>
      </c>
      <c r="G159" s="7">
        <v>9.288653370000001E-2</v>
      </c>
      <c r="H159" s="7">
        <v>9.5548315000000009E-2</v>
      </c>
      <c r="I159" s="7">
        <v>9.2893400200000004E-2</v>
      </c>
      <c r="J159" s="7">
        <v>7.9072971300000003E-2</v>
      </c>
      <c r="K159" s="7">
        <v>7.2625341400000001E-2</v>
      </c>
      <c r="L159" s="7">
        <v>8.9018440200000021E-2</v>
      </c>
      <c r="M159" s="7">
        <v>7.4324712799999998E-2</v>
      </c>
      <c r="N159" s="7">
        <v>8.9834308599999982E-2</v>
      </c>
      <c r="O159" s="7">
        <v>8.2786884299999988E-2</v>
      </c>
      <c r="P159" s="7">
        <v>0.1042676163</v>
      </c>
      <c r="Q159" s="7">
        <v>8.4720249199999986E-2</v>
      </c>
      <c r="R159" s="7">
        <v>9.5386180900000006E-2</v>
      </c>
      <c r="S159" s="7">
        <v>9.9016799899999994E-2</v>
      </c>
      <c r="T159" s="7">
        <v>9.4543552400000022E-2</v>
      </c>
      <c r="U159" s="7">
        <v>9.5462980299999986E-2</v>
      </c>
      <c r="V159" s="7">
        <v>9.584166529999999E-2</v>
      </c>
      <c r="W159" s="8">
        <v>9.584166529999999E-2</v>
      </c>
      <c r="X159" s="8">
        <v>9.584166529999999E-2</v>
      </c>
      <c r="Y159" s="8">
        <v>9.584166529999999E-2</v>
      </c>
      <c r="Z159" s="8">
        <v>9.584166529999999E-2</v>
      </c>
      <c r="AA159" s="8">
        <v>9.584166529999999E-2</v>
      </c>
      <c r="AB159" s="7"/>
      <c r="AC159" s="9">
        <f t="shared" si="16"/>
        <v>9.584166529999999E-2</v>
      </c>
      <c r="AD159" s="10" t="str">
        <f t="shared" si="17"/>
        <v>2023</v>
      </c>
      <c r="AE159" s="9">
        <f t="shared" si="18"/>
        <v>9.584166529999999E-2</v>
      </c>
      <c r="AF159" s="9">
        <f t="shared" si="19"/>
        <v>5.4158334700000005E-2</v>
      </c>
    </row>
    <row r="160" spans="1:32" x14ac:dyDescent="0.2">
      <c r="A160" s="6" t="s">
        <v>152</v>
      </c>
      <c r="B160" s="6" t="s">
        <v>153</v>
      </c>
      <c r="C160" s="6" t="s">
        <v>49</v>
      </c>
      <c r="D160" s="7">
        <v>5.450975420000001E-2</v>
      </c>
      <c r="E160" s="8">
        <v>5.450975420000001E-2</v>
      </c>
      <c r="F160" s="8">
        <v>5.450975420000001E-2</v>
      </c>
      <c r="G160" s="8">
        <v>5.450975420000001E-2</v>
      </c>
      <c r="H160" s="8">
        <v>5.450975420000001E-2</v>
      </c>
      <c r="I160" s="8">
        <v>5.450975420000001E-2</v>
      </c>
      <c r="J160" s="8">
        <v>5.450975420000001E-2</v>
      </c>
      <c r="K160" s="8">
        <v>5.450975420000001E-2</v>
      </c>
      <c r="L160" s="7">
        <v>4.4130363499999999E-2</v>
      </c>
      <c r="M160" s="7">
        <v>5.6055417099999998E-2</v>
      </c>
      <c r="N160" s="7">
        <v>6.5142416999999994E-2</v>
      </c>
      <c r="O160" s="7">
        <v>5.3543300600000003E-2</v>
      </c>
      <c r="P160" s="7">
        <v>4.7532110200000012E-2</v>
      </c>
      <c r="Q160" s="7">
        <v>5.1501288399999998E-2</v>
      </c>
      <c r="R160" s="7">
        <v>7.5798845300000015E-2</v>
      </c>
      <c r="S160" s="7">
        <v>6.2052178399999977E-2</v>
      </c>
      <c r="T160" s="7">
        <v>4.4451131800000002E-2</v>
      </c>
      <c r="U160" s="7">
        <v>3.6321120300000002E-2</v>
      </c>
      <c r="V160" s="7">
        <v>3.5992188500000008E-2</v>
      </c>
      <c r="W160" s="7">
        <v>5.84172201E-2</v>
      </c>
      <c r="X160" s="7">
        <v>5.3023967699999987E-2</v>
      </c>
      <c r="Y160" s="7">
        <v>5.6669006299999991E-2</v>
      </c>
      <c r="Z160" s="7">
        <v>4.4684481599999992E-2</v>
      </c>
      <c r="AA160" s="8">
        <v>4.4684481599999992E-2</v>
      </c>
      <c r="AB160" s="7"/>
      <c r="AC160" s="9">
        <f t="shared" si="16"/>
        <v>4.4684481599999992E-2</v>
      </c>
      <c r="AD160" s="10" t="str">
        <f t="shared" si="17"/>
        <v>2023</v>
      </c>
      <c r="AE160" s="9">
        <f t="shared" si="18"/>
        <v>5.1495831459999988E-2</v>
      </c>
      <c r="AF160" s="9">
        <f t="shared" si="19"/>
        <v>0.1053155184</v>
      </c>
    </row>
    <row r="161" spans="1:32" x14ac:dyDescent="0.2">
      <c r="A161" s="6" t="s">
        <v>373</v>
      </c>
      <c r="B161" s="6" t="s">
        <v>374</v>
      </c>
      <c r="C161" s="6"/>
      <c r="D161" s="7">
        <v>7.3918952899999987E-2</v>
      </c>
      <c r="E161" s="7">
        <v>4.8702096899999978E-2</v>
      </c>
      <c r="F161" s="7">
        <v>6.5422434799999984E-2</v>
      </c>
      <c r="G161" s="7">
        <v>8.3267784099999992E-2</v>
      </c>
      <c r="H161" s="7">
        <v>7.1289796799999999E-2</v>
      </c>
      <c r="I161" s="7">
        <v>7.8879089400000005E-2</v>
      </c>
      <c r="J161" s="7">
        <v>7.8484044099999983E-2</v>
      </c>
      <c r="K161" s="7">
        <v>0.10346528050000001</v>
      </c>
      <c r="L161" s="7">
        <v>8.6529207200000013E-2</v>
      </c>
      <c r="M161" s="7">
        <v>7.1467561699999987E-2</v>
      </c>
      <c r="N161" s="7">
        <v>0.1094287872</v>
      </c>
      <c r="O161" s="7">
        <v>0.11974595070000001</v>
      </c>
      <c r="P161" s="7">
        <v>0.1321419811</v>
      </c>
      <c r="Q161" s="7">
        <v>0.13961463930000001</v>
      </c>
      <c r="R161" s="7">
        <v>0.13655207629999999</v>
      </c>
      <c r="S161" s="7">
        <v>0.13536792759999999</v>
      </c>
      <c r="T161" s="7">
        <v>0.13307332990000001</v>
      </c>
      <c r="U161" s="7">
        <v>0.1531318092</v>
      </c>
      <c r="V161" s="7">
        <v>0.14572747229999999</v>
      </c>
      <c r="W161" s="7">
        <v>0.1628944588</v>
      </c>
      <c r="X161" s="7">
        <v>0.13857867239999999</v>
      </c>
      <c r="Y161" s="7">
        <v>0.19151287080000001</v>
      </c>
      <c r="Z161" s="7">
        <v>0.17414176940000001</v>
      </c>
      <c r="AA161" s="7">
        <v>0.17388761520000001</v>
      </c>
      <c r="AB161" s="7"/>
      <c r="AC161" s="9">
        <f t="shared" si="16"/>
        <v>0.17388761520000001</v>
      </c>
      <c r="AD161" s="10" t="str">
        <f t="shared" si="17"/>
        <v>2023</v>
      </c>
      <c r="AE161" s="9">
        <f t="shared" si="18"/>
        <v>0.16820307732000001</v>
      </c>
      <c r="AF161" s="9">
        <f t="shared" si="19"/>
        <v>0</v>
      </c>
    </row>
    <row r="162" spans="1:32" x14ac:dyDescent="0.2">
      <c r="A162" s="6" t="s">
        <v>375</v>
      </c>
      <c r="B162" s="6" t="s">
        <v>376</v>
      </c>
      <c r="C162" s="6"/>
      <c r="D162" s="7">
        <v>8.7218313200000008E-2</v>
      </c>
      <c r="E162" s="7">
        <v>0.1017947102</v>
      </c>
      <c r="F162" s="7">
        <v>0.10550078390000001</v>
      </c>
      <c r="G162" s="7">
        <v>0.1191282558</v>
      </c>
      <c r="H162" s="7">
        <v>0.1311000252</v>
      </c>
      <c r="I162" s="7">
        <v>0.1270239162</v>
      </c>
      <c r="J162" s="7">
        <v>0.12503304479999999</v>
      </c>
      <c r="K162" s="7">
        <v>0.13725182529999999</v>
      </c>
      <c r="L162" s="7">
        <v>0.14254230500000001</v>
      </c>
      <c r="M162" s="7">
        <v>0.13177289959999999</v>
      </c>
      <c r="N162" s="7">
        <v>0.13267323489999999</v>
      </c>
      <c r="O162" s="7">
        <v>0.12932326320000001</v>
      </c>
      <c r="P162" s="7">
        <v>0.13371639250000009</v>
      </c>
      <c r="Q162" s="7">
        <v>0.133428297</v>
      </c>
      <c r="R162" s="7">
        <v>0.12976531029999999</v>
      </c>
      <c r="S162" s="7">
        <v>0.1202904129</v>
      </c>
      <c r="T162" s="7">
        <v>0.13805191989999999</v>
      </c>
      <c r="U162" s="7">
        <v>0.13379529000000001</v>
      </c>
      <c r="V162" s="7">
        <v>0.13259303089999999</v>
      </c>
      <c r="W162" s="7">
        <v>0.13400120739999999</v>
      </c>
      <c r="X162" s="7">
        <v>0.12735766409999999</v>
      </c>
      <c r="Y162" s="7">
        <v>0.1354746342</v>
      </c>
      <c r="Z162" s="7">
        <v>0.14305915829999999</v>
      </c>
      <c r="AA162" s="7">
        <v>0.120953331</v>
      </c>
      <c r="AB162" s="7"/>
      <c r="AC162" s="9">
        <f t="shared" si="16"/>
        <v>0.120953331</v>
      </c>
      <c r="AD162" s="10" t="str">
        <f t="shared" si="17"/>
        <v>2023</v>
      </c>
      <c r="AE162" s="9">
        <f t="shared" si="18"/>
        <v>0.13216919899999996</v>
      </c>
      <c r="AF162" s="9">
        <f t="shared" si="19"/>
        <v>2.9046668999999997E-2</v>
      </c>
    </row>
    <row r="163" spans="1:32" x14ac:dyDescent="0.2">
      <c r="A163" s="6" t="s">
        <v>377</v>
      </c>
      <c r="B163" s="6" t="s">
        <v>378</v>
      </c>
      <c r="C163" s="6"/>
      <c r="D163" s="7">
        <v>0.1172850704</v>
      </c>
      <c r="E163" s="7">
        <v>0.1141798592</v>
      </c>
      <c r="F163" s="7">
        <v>0.1230063725</v>
      </c>
      <c r="G163" s="7">
        <v>0.12365039830000001</v>
      </c>
      <c r="H163" s="7">
        <v>0.12275156969999999</v>
      </c>
      <c r="I163" s="7">
        <v>0.12467583660000001</v>
      </c>
      <c r="J163" s="7">
        <v>0.12348935129999999</v>
      </c>
      <c r="K163" s="7">
        <v>0.12179581640000001</v>
      </c>
      <c r="L163" s="7">
        <v>0.126067915</v>
      </c>
      <c r="M163" s="7">
        <v>0.1244719791</v>
      </c>
      <c r="N163" s="7">
        <v>0.1232549</v>
      </c>
      <c r="O163" s="7">
        <v>0.1208939648</v>
      </c>
      <c r="P163" s="7">
        <v>0.1245778847</v>
      </c>
      <c r="Q163" s="7">
        <v>0.1076674747</v>
      </c>
      <c r="R163" s="7">
        <v>0.11975789069999999</v>
      </c>
      <c r="S163" s="7">
        <v>0.1236574936</v>
      </c>
      <c r="T163" s="7">
        <v>0.1321404934</v>
      </c>
      <c r="U163" s="7">
        <v>0.1329220009</v>
      </c>
      <c r="V163" s="7">
        <v>0.13726642610000001</v>
      </c>
      <c r="W163" s="7">
        <v>0.14158698080000001</v>
      </c>
      <c r="X163" s="7">
        <v>0.1329646873</v>
      </c>
      <c r="Y163" s="7">
        <v>0.1398637009</v>
      </c>
      <c r="Z163" s="7">
        <v>0.1483816338</v>
      </c>
      <c r="AA163" s="7">
        <v>0.14629184719999999</v>
      </c>
      <c r="AB163" s="7"/>
      <c r="AC163" s="9">
        <f t="shared" si="16"/>
        <v>0.14629184719999999</v>
      </c>
      <c r="AD163" s="10" t="str">
        <f t="shared" si="17"/>
        <v>2023</v>
      </c>
      <c r="AE163" s="9">
        <f t="shared" si="18"/>
        <v>0.14181777000000001</v>
      </c>
      <c r="AF163" s="9">
        <f t="shared" si="19"/>
        <v>3.708152800000003E-3</v>
      </c>
    </row>
    <row r="164" spans="1:32" x14ac:dyDescent="0.2">
      <c r="A164" s="6" t="s">
        <v>379</v>
      </c>
      <c r="B164" s="6" t="s">
        <v>380</v>
      </c>
      <c r="C164" s="6"/>
      <c r="D164" s="7">
        <v>0.23802406309999999</v>
      </c>
      <c r="E164" s="7">
        <v>0.3321530533</v>
      </c>
      <c r="F164" s="7">
        <v>0.34484806060000001</v>
      </c>
      <c r="G164" s="7">
        <v>0.35179798130000001</v>
      </c>
      <c r="H164" s="7">
        <v>0.33372295380000011</v>
      </c>
      <c r="I164" s="7">
        <v>0.37619068150000001</v>
      </c>
      <c r="J164" s="7">
        <v>0.26378971099999998</v>
      </c>
      <c r="K164" s="7">
        <v>0.20934534069999999</v>
      </c>
      <c r="L164" s="7">
        <v>0.11708964350000001</v>
      </c>
      <c r="M164" s="7">
        <v>0.1250418663</v>
      </c>
      <c r="N164" s="7">
        <v>0.12317749980000001</v>
      </c>
      <c r="O164" s="7">
        <v>0.10618879320000001</v>
      </c>
      <c r="P164" s="7">
        <v>0.10036627770000001</v>
      </c>
      <c r="Q164" s="7">
        <v>6.6384463300000002E-2</v>
      </c>
      <c r="R164" s="7">
        <v>7.4215269099999995E-2</v>
      </c>
      <c r="S164" s="7">
        <v>7.4024062200000018E-2</v>
      </c>
      <c r="T164" s="7">
        <v>7.962340829999999E-2</v>
      </c>
      <c r="U164" s="7">
        <v>7.6664848299999991E-2</v>
      </c>
      <c r="V164" s="7">
        <v>8.5099039099999996E-2</v>
      </c>
      <c r="W164" s="7">
        <v>9.1535081900000023E-2</v>
      </c>
      <c r="X164" s="7">
        <v>8.9738101999999986E-2</v>
      </c>
      <c r="Y164" s="7">
        <v>9.1381549800000017E-2</v>
      </c>
      <c r="Z164" s="7">
        <v>8.1492824599999986E-2</v>
      </c>
      <c r="AA164" s="7">
        <v>8.4079256099999999E-2</v>
      </c>
      <c r="AB164" s="7"/>
      <c r="AC164" s="9">
        <f t="shared" si="16"/>
        <v>8.4079256099999999E-2</v>
      </c>
      <c r="AD164" s="10" t="str">
        <f t="shared" si="17"/>
        <v>2023</v>
      </c>
      <c r="AE164" s="9">
        <f t="shared" si="18"/>
        <v>8.7645362879999994E-2</v>
      </c>
      <c r="AF164" s="9">
        <f t="shared" si="19"/>
        <v>6.5920743899999995E-2</v>
      </c>
    </row>
    <row r="165" spans="1:32" x14ac:dyDescent="0.2">
      <c r="A165" s="6" t="s">
        <v>154</v>
      </c>
      <c r="B165" s="6" t="s">
        <v>155</v>
      </c>
      <c r="C165" s="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>
        <v>5.7628288300000011E-2</v>
      </c>
      <c r="R165" s="7">
        <v>4.1115641600000002E-2</v>
      </c>
      <c r="S165" s="7">
        <v>5.251731870000001E-2</v>
      </c>
      <c r="T165" s="7">
        <v>5.7761182799999998E-2</v>
      </c>
      <c r="U165" s="7">
        <v>4.7264437699999988E-2</v>
      </c>
      <c r="V165" s="7">
        <v>4.0835618999999997E-2</v>
      </c>
      <c r="W165" s="7">
        <v>4.1364955900000007E-2</v>
      </c>
      <c r="X165" s="7">
        <v>4.2128167200000011E-2</v>
      </c>
      <c r="Y165" s="7">
        <v>7.1242856999999993E-2</v>
      </c>
      <c r="Z165" s="7">
        <v>4.4200739899999987E-2</v>
      </c>
      <c r="AA165" s="7">
        <v>7.9044699700000012E-2</v>
      </c>
      <c r="AB165" s="7"/>
      <c r="AC165" s="9">
        <f t="shared" ref="AC165:AC196" si="20">LOOKUP(9.99E+307,D165:AB165)</f>
        <v>7.9044699700000012E-2</v>
      </c>
      <c r="AD165" s="10" t="str">
        <f t="shared" ref="AD165:AD199" si="21">LOOKUP(9.99E+307,D165:AB165,D$4:AB$4)</f>
        <v>2023</v>
      </c>
      <c r="AE165" s="9">
        <f t="shared" ref="AE165:AE199" si="22">IFERROR(AVERAGE(W165:AB165),"")</f>
        <v>5.5596283940000005E-2</v>
      </c>
      <c r="AF165" s="9">
        <f t="shared" ref="AF165:AF199" si="23">MAX(0,$B$2-AC165)</f>
        <v>7.0955300299999982E-2</v>
      </c>
    </row>
    <row r="166" spans="1:32" x14ac:dyDescent="0.2">
      <c r="A166" s="6" t="s">
        <v>156</v>
      </c>
      <c r="B166" s="6" t="s">
        <v>157</v>
      </c>
      <c r="C166" s="6"/>
      <c r="D166" s="7">
        <v>0.1185530758</v>
      </c>
      <c r="E166" s="7">
        <v>0.1062284565</v>
      </c>
      <c r="F166" s="7">
        <v>0.1037981224</v>
      </c>
      <c r="G166" s="7">
        <v>0.1233823776</v>
      </c>
      <c r="H166" s="7">
        <v>0.120292511</v>
      </c>
      <c r="I166" s="7">
        <v>0.1091880608</v>
      </c>
      <c r="J166" s="7">
        <v>0.13095091819999999</v>
      </c>
      <c r="K166" s="7">
        <v>0.13509318349999999</v>
      </c>
      <c r="L166" s="7">
        <v>0.1301471424</v>
      </c>
      <c r="M166" s="7">
        <v>0.1336997318</v>
      </c>
      <c r="N166" s="7">
        <v>0.1411525917</v>
      </c>
      <c r="O166" s="7">
        <v>0.1467442226</v>
      </c>
      <c r="P166" s="7">
        <v>0.14467313770000001</v>
      </c>
      <c r="Q166" s="7">
        <v>0.14337916370000001</v>
      </c>
      <c r="R166" s="7">
        <v>0.14916127200000001</v>
      </c>
      <c r="S166" s="7">
        <v>0.15237735749999989</v>
      </c>
      <c r="T166" s="7">
        <v>0.1528983974</v>
      </c>
      <c r="U166" s="8">
        <v>0.1528983974</v>
      </c>
      <c r="V166" s="8">
        <v>0.1528983974</v>
      </c>
      <c r="W166" s="8">
        <v>0.1528983974</v>
      </c>
      <c r="X166" s="7">
        <v>0.16885675429999999</v>
      </c>
      <c r="Y166" s="8">
        <v>0.16885675429999999</v>
      </c>
      <c r="Z166" s="8">
        <v>0.16885675429999999</v>
      </c>
      <c r="AA166" s="8">
        <v>0.16885675429999999</v>
      </c>
      <c r="AB166" s="7"/>
      <c r="AC166" s="9">
        <f t="shared" si="20"/>
        <v>0.16885675429999999</v>
      </c>
      <c r="AD166" s="10" t="str">
        <f t="shared" si="21"/>
        <v>2023</v>
      </c>
      <c r="AE166" s="9">
        <f t="shared" si="22"/>
        <v>0.16566508292000001</v>
      </c>
      <c r="AF166" s="9">
        <f t="shared" si="23"/>
        <v>0</v>
      </c>
    </row>
    <row r="167" spans="1:32" x14ac:dyDescent="0.2">
      <c r="A167" s="6" t="s">
        <v>158</v>
      </c>
      <c r="B167" s="6" t="s">
        <v>159</v>
      </c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>
        <v>2.10620522E-2</v>
      </c>
      <c r="V167" s="8">
        <v>2.10620522E-2</v>
      </c>
      <c r="W167" s="8">
        <v>2.10620522E-2</v>
      </c>
      <c r="X167" s="8">
        <v>2.10620522E-2</v>
      </c>
      <c r="Y167" s="8">
        <v>2.10620522E-2</v>
      </c>
      <c r="Z167" s="8">
        <v>2.10620522E-2</v>
      </c>
      <c r="AA167" s="7">
        <v>2.1358618699999998E-2</v>
      </c>
      <c r="AB167" s="7"/>
      <c r="AC167" s="9">
        <f t="shared" si="20"/>
        <v>2.1358618699999998E-2</v>
      </c>
      <c r="AD167" s="10" t="str">
        <f t="shared" si="21"/>
        <v>2023</v>
      </c>
      <c r="AE167" s="9">
        <f t="shared" si="22"/>
        <v>2.1121365499999999E-2</v>
      </c>
      <c r="AF167" s="9">
        <f t="shared" si="23"/>
        <v>0.1286413813</v>
      </c>
    </row>
    <row r="168" spans="1:32" x14ac:dyDescent="0.2">
      <c r="A168" s="6" t="s">
        <v>381</v>
      </c>
      <c r="B168" s="6" t="s">
        <v>382</v>
      </c>
      <c r="C168" s="6"/>
      <c r="D168" s="7">
        <v>0.1241073608</v>
      </c>
      <c r="E168" s="7">
        <v>0.12520053859999999</v>
      </c>
      <c r="F168" s="7">
        <v>0.12507224080000001</v>
      </c>
      <c r="G168" s="7">
        <v>0.1401710796</v>
      </c>
      <c r="H168" s="7">
        <v>0.1405403996</v>
      </c>
      <c r="I168" s="7">
        <v>0.1440070343</v>
      </c>
      <c r="J168" s="7">
        <v>0.14688804629999999</v>
      </c>
      <c r="K168" s="7">
        <v>0.14586568829999999</v>
      </c>
      <c r="L168" s="7">
        <v>0.14822873119999999</v>
      </c>
      <c r="M168" s="7">
        <v>0.147896204</v>
      </c>
      <c r="N168" s="7">
        <v>0.1474666214</v>
      </c>
      <c r="O168" s="7">
        <v>0.14598573679999999</v>
      </c>
      <c r="P168" s="7">
        <v>0.13350831029999999</v>
      </c>
      <c r="Q168" s="7">
        <v>0.13880561829999999</v>
      </c>
      <c r="R168" s="7">
        <v>0.1409342861</v>
      </c>
      <c r="S168" s="7">
        <v>0.14772563929999999</v>
      </c>
      <c r="T168" s="7">
        <v>0.15096633910000001</v>
      </c>
      <c r="U168" s="7">
        <v>0.15281229020000001</v>
      </c>
      <c r="V168" s="7">
        <v>0.15119517330000001</v>
      </c>
      <c r="W168" s="7">
        <v>0.1522969532</v>
      </c>
      <c r="X168" s="7">
        <v>0.1514615154</v>
      </c>
      <c r="Y168" s="7">
        <v>0.15184710500000001</v>
      </c>
      <c r="Z168" s="7">
        <v>0.1520463943</v>
      </c>
      <c r="AA168" s="7">
        <v>0.14847926140000001</v>
      </c>
      <c r="AB168" s="7"/>
      <c r="AC168" s="9">
        <f t="shared" si="20"/>
        <v>0.14847926140000001</v>
      </c>
      <c r="AD168" s="10" t="str">
        <f t="shared" si="21"/>
        <v>2023</v>
      </c>
      <c r="AE168" s="9">
        <f t="shared" si="22"/>
        <v>0.15122624586</v>
      </c>
      <c r="AF168" s="9">
        <f t="shared" si="23"/>
        <v>1.5207385999999878E-3</v>
      </c>
    </row>
    <row r="169" spans="1:32" x14ac:dyDescent="0.2">
      <c r="A169" s="6" t="s">
        <v>383</v>
      </c>
      <c r="B169" s="6" t="s">
        <v>384</v>
      </c>
      <c r="C169" s="6"/>
      <c r="D169" s="7">
        <v>0.1013794994</v>
      </c>
      <c r="E169" s="7">
        <v>9.5172319400000024E-2</v>
      </c>
      <c r="F169" s="7">
        <v>0.10373838420000001</v>
      </c>
      <c r="G169" s="7">
        <v>0.103829298</v>
      </c>
      <c r="H169" s="7">
        <v>0.1104907322</v>
      </c>
      <c r="I169" s="7">
        <v>0.1013588715</v>
      </c>
      <c r="J169" s="7">
        <v>9.5610189400000004E-2</v>
      </c>
      <c r="K169" s="7">
        <v>9.3269033400000007E-2</v>
      </c>
      <c r="L169" s="7">
        <v>8.7287759800000003E-2</v>
      </c>
      <c r="M169" s="7">
        <v>7.8387150799999999E-2</v>
      </c>
      <c r="N169" s="7">
        <v>7.8348221800000006E-2</v>
      </c>
      <c r="O169" s="7">
        <v>7.9651293800000009E-2</v>
      </c>
      <c r="P169" s="7">
        <v>8.0633907299999988E-2</v>
      </c>
      <c r="Q169" s="7">
        <v>0.1010018063</v>
      </c>
      <c r="R169" s="7">
        <v>9.0334749199999995E-2</v>
      </c>
      <c r="S169" s="7">
        <v>8.4012775400000003E-2</v>
      </c>
      <c r="T169" s="7">
        <v>8.5648269700000002E-2</v>
      </c>
      <c r="U169" s="7">
        <v>7.6372261000000011E-2</v>
      </c>
      <c r="V169" s="7">
        <v>9.485338209999998E-2</v>
      </c>
      <c r="W169" s="7">
        <v>8.9149017300000008E-2</v>
      </c>
      <c r="X169" s="7">
        <v>9.7395772900000011E-2</v>
      </c>
      <c r="Y169" s="7">
        <v>0.1130753422</v>
      </c>
      <c r="Z169" s="7">
        <v>8.2089977299999978E-2</v>
      </c>
      <c r="AA169" s="7">
        <v>6.3298101399999987E-2</v>
      </c>
      <c r="AB169" s="7"/>
      <c r="AC169" s="9">
        <f t="shared" si="20"/>
        <v>6.3298101399999987E-2</v>
      </c>
      <c r="AD169" s="10" t="str">
        <f t="shared" si="21"/>
        <v>2023</v>
      </c>
      <c r="AE169" s="9">
        <f t="shared" si="22"/>
        <v>8.9001642219999982E-2</v>
      </c>
      <c r="AF169" s="9">
        <f t="shared" si="23"/>
        <v>8.6701898600000007E-2</v>
      </c>
    </row>
    <row r="170" spans="1:32" x14ac:dyDescent="0.2">
      <c r="A170" s="6" t="s">
        <v>385</v>
      </c>
      <c r="B170" s="6" t="s">
        <v>386</v>
      </c>
      <c r="C170" s="6"/>
      <c r="D170" s="7">
        <v>0.11774792670000001</v>
      </c>
      <c r="E170" s="7">
        <v>0.1136873627</v>
      </c>
      <c r="F170" s="7">
        <v>0.10707191470000001</v>
      </c>
      <c r="G170" s="7">
        <v>0.10071520809999999</v>
      </c>
      <c r="H170" s="7">
        <v>9.5267467499999994E-2</v>
      </c>
      <c r="I170" s="7">
        <v>8.0994863500000014E-2</v>
      </c>
      <c r="J170" s="7">
        <v>9.4422225999999998E-2</v>
      </c>
      <c r="K170" s="7">
        <v>0.1046531487</v>
      </c>
      <c r="L170" s="7">
        <v>8.7863130599999992E-2</v>
      </c>
      <c r="M170" s="7">
        <v>0.14019545559999999</v>
      </c>
      <c r="N170" s="7">
        <v>9.48801804E-2</v>
      </c>
      <c r="O170" s="7">
        <v>7.035676959999998E-2</v>
      </c>
      <c r="P170" s="7">
        <v>9.0608625400000004E-2</v>
      </c>
      <c r="Q170" s="7">
        <v>7.5176095999999984E-2</v>
      </c>
      <c r="R170" s="7">
        <v>0.1061807156</v>
      </c>
      <c r="S170" s="7">
        <v>6.6636958100000004E-2</v>
      </c>
      <c r="T170" s="7">
        <v>0.12928736690000001</v>
      </c>
      <c r="U170" s="7">
        <v>8.3249940900000027E-2</v>
      </c>
      <c r="V170" s="7">
        <v>6.1710329100000003E-2</v>
      </c>
      <c r="W170" s="7">
        <v>5.55815172E-2</v>
      </c>
      <c r="X170" s="7">
        <v>9.5451154700000013E-2</v>
      </c>
      <c r="Y170" s="7">
        <v>7.8614120499999982E-2</v>
      </c>
      <c r="Z170" s="7">
        <v>4.6226062799999988E-2</v>
      </c>
      <c r="AA170" s="7">
        <v>7.1461744299999991E-2</v>
      </c>
      <c r="AB170" s="7"/>
      <c r="AC170" s="9">
        <f t="shared" si="20"/>
        <v>7.1461744299999991E-2</v>
      </c>
      <c r="AD170" s="10" t="str">
        <f t="shared" si="21"/>
        <v>2023</v>
      </c>
      <c r="AE170" s="9">
        <f t="shared" si="22"/>
        <v>6.9466919900000007E-2</v>
      </c>
      <c r="AF170" s="9">
        <f t="shared" si="23"/>
        <v>7.8538255700000004E-2</v>
      </c>
    </row>
    <row r="171" spans="1:32" x14ac:dyDescent="0.2">
      <c r="A171" s="6" t="s">
        <v>387</v>
      </c>
      <c r="B171" s="6" t="s">
        <v>388</v>
      </c>
      <c r="C171" s="6"/>
      <c r="D171" s="7">
        <v>0.1164874554</v>
      </c>
      <c r="E171" s="7">
        <v>8.5155267699999995E-2</v>
      </c>
      <c r="F171" s="7">
        <v>0.1107381153</v>
      </c>
      <c r="G171" s="7">
        <v>0.11152361869999999</v>
      </c>
      <c r="H171" s="7">
        <v>0.1167535591</v>
      </c>
      <c r="I171" s="7">
        <v>0.1063834286</v>
      </c>
      <c r="J171" s="7">
        <v>0.1223231316</v>
      </c>
      <c r="K171" s="7">
        <v>0.1144394779</v>
      </c>
      <c r="L171" s="7">
        <v>0.10231904980000001</v>
      </c>
      <c r="M171" s="7">
        <v>9.5248756400000009E-2</v>
      </c>
      <c r="N171" s="7">
        <v>9.4682464599999974E-2</v>
      </c>
      <c r="O171" s="7">
        <v>8.5120382300000019E-2</v>
      </c>
      <c r="P171" s="7">
        <v>6.5904984499999986E-2</v>
      </c>
      <c r="Q171" s="7">
        <v>7.0314216599999993E-2</v>
      </c>
      <c r="R171" s="7">
        <v>6.8982982599999992E-2</v>
      </c>
      <c r="S171" s="7">
        <v>0.1085628891</v>
      </c>
      <c r="T171" s="7">
        <v>0.13708869930000009</v>
      </c>
      <c r="U171" s="7">
        <v>0.11394409179999999</v>
      </c>
      <c r="V171" s="7">
        <v>0.17128709789999999</v>
      </c>
      <c r="W171" s="7">
        <v>0.15045205119999999</v>
      </c>
      <c r="X171" s="7">
        <v>0.13350059510000001</v>
      </c>
      <c r="Y171" s="7">
        <v>0.10205837249999999</v>
      </c>
      <c r="Z171" s="7">
        <v>0.1405054855</v>
      </c>
      <c r="AA171" s="7">
        <v>0.115488596</v>
      </c>
      <c r="AB171" s="7"/>
      <c r="AC171" s="9">
        <f t="shared" si="20"/>
        <v>0.115488596</v>
      </c>
      <c r="AD171" s="10" t="str">
        <f t="shared" si="21"/>
        <v>2023</v>
      </c>
      <c r="AE171" s="9">
        <f t="shared" si="22"/>
        <v>0.12840102006000001</v>
      </c>
      <c r="AF171" s="9">
        <f t="shared" si="23"/>
        <v>3.4511403999999996E-2</v>
      </c>
    </row>
    <row r="172" spans="1:32" x14ac:dyDescent="0.2">
      <c r="A172" s="6" t="s">
        <v>389</v>
      </c>
      <c r="B172" s="6" t="s">
        <v>390</v>
      </c>
      <c r="C172" s="6"/>
      <c r="D172" s="7">
        <v>0.1179732227</v>
      </c>
      <c r="E172" s="7">
        <v>0.12275990489999999</v>
      </c>
      <c r="F172" s="7">
        <v>0.12557825089999999</v>
      </c>
      <c r="G172" s="7">
        <v>0.1278126812</v>
      </c>
      <c r="H172" s="7">
        <v>0.12744052889999999</v>
      </c>
      <c r="I172" s="7">
        <v>0.128327198</v>
      </c>
      <c r="J172" s="7">
        <v>0.1291620255</v>
      </c>
      <c r="K172" s="7">
        <v>0.13283367160000001</v>
      </c>
      <c r="L172" s="7">
        <v>0.13430596349999999</v>
      </c>
      <c r="M172" s="7">
        <v>0.13699304579999999</v>
      </c>
      <c r="N172" s="7">
        <v>0.13486427309999999</v>
      </c>
      <c r="O172" s="7">
        <v>0.17685480119999999</v>
      </c>
      <c r="P172" s="7">
        <v>0.17765762330000001</v>
      </c>
      <c r="Q172" s="7">
        <v>0.1760577965</v>
      </c>
      <c r="R172" s="7">
        <v>0.1796896553</v>
      </c>
      <c r="S172" s="7">
        <v>0.1820180321</v>
      </c>
      <c r="T172" s="7">
        <v>0.18284166339999999</v>
      </c>
      <c r="U172" s="7">
        <v>0.184483757</v>
      </c>
      <c r="V172" s="7">
        <v>0.1848514175</v>
      </c>
      <c r="W172" s="7">
        <v>0.18672487260000001</v>
      </c>
      <c r="X172" s="7">
        <v>0.18552413940000001</v>
      </c>
      <c r="Y172" s="7">
        <v>0.1927584457</v>
      </c>
      <c r="Z172" s="7">
        <v>0.19051233289999989</v>
      </c>
      <c r="AA172" s="7">
        <v>0.19451786039999999</v>
      </c>
      <c r="AB172" s="7"/>
      <c r="AC172" s="9">
        <f t="shared" si="20"/>
        <v>0.19451786039999999</v>
      </c>
      <c r="AD172" s="10" t="str">
        <f t="shared" si="21"/>
        <v>2023</v>
      </c>
      <c r="AE172" s="9">
        <f t="shared" si="22"/>
        <v>0.1900075302</v>
      </c>
      <c r="AF172" s="9">
        <f t="shared" si="23"/>
        <v>0</v>
      </c>
    </row>
    <row r="173" spans="1:32" x14ac:dyDescent="0.2">
      <c r="A173" s="6" t="s">
        <v>391</v>
      </c>
      <c r="B173" s="6" t="s">
        <v>392</v>
      </c>
      <c r="C173" s="6"/>
      <c r="D173" s="7">
        <v>7.8361706700000019E-2</v>
      </c>
      <c r="E173" s="7">
        <v>8.6952781700000023E-2</v>
      </c>
      <c r="F173" s="7">
        <v>8.8396339400000024E-2</v>
      </c>
      <c r="G173" s="7">
        <v>9.3068475699999986E-2</v>
      </c>
      <c r="H173" s="7">
        <v>9.3084573699999992E-2</v>
      </c>
      <c r="I173" s="7">
        <v>9.3920469300000017E-2</v>
      </c>
      <c r="J173" s="7">
        <v>9.3417081799999996E-2</v>
      </c>
      <c r="K173" s="7">
        <v>9.5560274100000009E-2</v>
      </c>
      <c r="L173" s="7">
        <v>9.779722209999997E-2</v>
      </c>
      <c r="M173" s="7">
        <v>9.973731990000001E-2</v>
      </c>
      <c r="N173" s="7">
        <v>0.1025540829</v>
      </c>
      <c r="O173" s="7">
        <v>0.10500001909999999</v>
      </c>
      <c r="P173" s="7">
        <v>0.1086467552</v>
      </c>
      <c r="Q173" s="7">
        <v>0.1055523682</v>
      </c>
      <c r="R173" s="7">
        <v>0.1079354095</v>
      </c>
      <c r="S173" s="7">
        <v>0.1092490101</v>
      </c>
      <c r="T173" s="7">
        <v>0.1117563915</v>
      </c>
      <c r="U173" s="7">
        <v>0.1132075405</v>
      </c>
      <c r="V173" s="7">
        <v>0.11378705980000001</v>
      </c>
      <c r="W173" s="7">
        <v>0.1151255226</v>
      </c>
      <c r="X173" s="7">
        <v>0.1117624092</v>
      </c>
      <c r="Y173" s="7">
        <v>0.1195497608</v>
      </c>
      <c r="Z173" s="7">
        <v>0.1234594059</v>
      </c>
      <c r="AA173" s="7">
        <v>0.1164929962</v>
      </c>
      <c r="AB173" s="7"/>
      <c r="AC173" s="9">
        <f t="shared" si="20"/>
        <v>0.1164929962</v>
      </c>
      <c r="AD173" s="10" t="str">
        <f t="shared" si="21"/>
        <v>2023</v>
      </c>
      <c r="AE173" s="9">
        <f t="shared" si="22"/>
        <v>0.11727801894000001</v>
      </c>
      <c r="AF173" s="9">
        <f t="shared" si="23"/>
        <v>3.350700379999999E-2</v>
      </c>
    </row>
    <row r="174" spans="1:32" x14ac:dyDescent="0.2">
      <c r="A174" s="6" t="s">
        <v>393</v>
      </c>
      <c r="B174" s="6" t="s">
        <v>394</v>
      </c>
      <c r="C174" s="6"/>
      <c r="D174" s="7">
        <v>5.6472854600000011E-2</v>
      </c>
      <c r="E174" s="7">
        <v>6.6488871600000013E-2</v>
      </c>
      <c r="F174" s="7">
        <v>7.2117576600000011E-2</v>
      </c>
      <c r="G174" s="7">
        <v>7.5146617900000004E-2</v>
      </c>
      <c r="H174" s="7">
        <v>6.8188762700000016E-2</v>
      </c>
      <c r="I174" s="7">
        <v>7.3434619899999998E-2</v>
      </c>
      <c r="J174" s="7">
        <v>6.7375030499999988E-2</v>
      </c>
      <c r="K174" s="7">
        <v>6.8548264499999997E-2</v>
      </c>
      <c r="L174" s="7">
        <v>6.8382477799999994E-2</v>
      </c>
      <c r="M174" s="7">
        <v>5.9503645900000013E-2</v>
      </c>
      <c r="N174" s="7">
        <v>5.1248316799999999E-2</v>
      </c>
      <c r="O174" s="7">
        <v>3.7356152500000003E-2</v>
      </c>
      <c r="P174" s="7">
        <v>4.4714531899999993E-2</v>
      </c>
      <c r="Q174" s="7">
        <v>5.9331960700000012E-2</v>
      </c>
      <c r="R174" s="7">
        <v>7.4016842799999996E-2</v>
      </c>
      <c r="S174" s="7">
        <v>7.5229649499999995E-2</v>
      </c>
      <c r="T174" s="7">
        <v>8.3157329599999982E-2</v>
      </c>
      <c r="U174" s="7">
        <v>8.9447650899999995E-2</v>
      </c>
      <c r="V174" s="7">
        <v>8.5482206299999988E-2</v>
      </c>
      <c r="W174" s="7">
        <v>9.0706863400000004E-2</v>
      </c>
      <c r="X174" s="7">
        <v>0.1002773762</v>
      </c>
      <c r="Y174" s="7">
        <v>7.6967635199999995E-2</v>
      </c>
      <c r="Z174" s="7">
        <v>7.9079666100000001E-2</v>
      </c>
      <c r="AA174" s="7">
        <v>7.71054459E-2</v>
      </c>
      <c r="AB174" s="7"/>
      <c r="AC174" s="9">
        <f t="shared" si="20"/>
        <v>7.71054459E-2</v>
      </c>
      <c r="AD174" s="10" t="str">
        <f t="shared" si="21"/>
        <v>2023</v>
      </c>
      <c r="AE174" s="9">
        <f t="shared" si="22"/>
        <v>8.4827397360000001E-2</v>
      </c>
      <c r="AF174" s="9">
        <f t="shared" si="23"/>
        <v>7.2894554099999995E-2</v>
      </c>
    </row>
    <row r="175" spans="1:32" x14ac:dyDescent="0.2">
      <c r="A175" s="6" t="s">
        <v>160</v>
      </c>
      <c r="B175" s="6" t="s">
        <v>161</v>
      </c>
      <c r="C175" s="6"/>
      <c r="D175" s="7">
        <v>4.8929662700000008E-2</v>
      </c>
      <c r="E175" s="7">
        <v>5.0574712799999998E-2</v>
      </c>
      <c r="F175" s="7">
        <v>4.2187500000000003E-2</v>
      </c>
      <c r="G175" s="7">
        <v>4.0352811799999999E-2</v>
      </c>
      <c r="H175" s="7">
        <v>4.4186048499999991E-2</v>
      </c>
      <c r="I175" s="7">
        <v>4.3151516899999992E-2</v>
      </c>
      <c r="J175" s="7">
        <v>4.3291769000000001E-2</v>
      </c>
      <c r="K175" s="7">
        <v>5.3002309800000001E-2</v>
      </c>
      <c r="L175" s="7">
        <v>6.7886295299999996E-2</v>
      </c>
      <c r="M175" s="7">
        <v>4.5913758300000003E-2</v>
      </c>
      <c r="N175" s="7">
        <v>4.5633802399999999E-2</v>
      </c>
      <c r="O175" s="7">
        <v>5.3759760899999988E-2</v>
      </c>
      <c r="P175" s="7">
        <v>6.5030193299999983E-2</v>
      </c>
      <c r="Q175" s="7">
        <v>6.8673086199999983E-2</v>
      </c>
      <c r="R175" s="7">
        <v>7.5624551799999995E-2</v>
      </c>
      <c r="S175" s="7">
        <v>6.4093766200000013E-2</v>
      </c>
      <c r="T175" s="7">
        <v>6.0942478199999997E-2</v>
      </c>
      <c r="U175" s="7">
        <v>5.8856773399999993E-2</v>
      </c>
      <c r="V175" s="7">
        <v>6.1445789299999991E-2</v>
      </c>
      <c r="W175" s="7">
        <v>6.5859360699999994E-2</v>
      </c>
      <c r="X175" s="7">
        <v>7.3759446100000001E-2</v>
      </c>
      <c r="Y175" s="7">
        <v>7.0209379199999991E-2</v>
      </c>
      <c r="Z175" s="7">
        <v>6.3917908700000012E-2</v>
      </c>
      <c r="AA175" s="7">
        <v>6.1385097499999992E-2</v>
      </c>
      <c r="AB175" s="7"/>
      <c r="AC175" s="9">
        <f t="shared" si="20"/>
        <v>6.1385097499999992E-2</v>
      </c>
      <c r="AD175" s="10" t="str">
        <f t="shared" si="21"/>
        <v>2023</v>
      </c>
      <c r="AE175" s="9">
        <f t="shared" si="22"/>
        <v>6.7026238439999997E-2</v>
      </c>
      <c r="AF175" s="9">
        <f t="shared" si="23"/>
        <v>8.8614902500000009E-2</v>
      </c>
    </row>
    <row r="176" spans="1:32" x14ac:dyDescent="0.2">
      <c r="A176" s="6" t="s">
        <v>395</v>
      </c>
      <c r="B176" s="6" t="s">
        <v>396</v>
      </c>
      <c r="C176" s="6"/>
      <c r="D176" s="7">
        <v>9.2487525900000006E-2</v>
      </c>
      <c r="E176" s="7">
        <v>8.3769073499999999E-2</v>
      </c>
      <c r="F176" s="7">
        <v>8.7155113199999995E-2</v>
      </c>
      <c r="G176" s="7">
        <v>0.11456794739999999</v>
      </c>
      <c r="H176" s="7">
        <v>0.107134676</v>
      </c>
      <c r="I176" s="7">
        <v>0.105017271</v>
      </c>
      <c r="J176" s="7">
        <v>0.12115686420000001</v>
      </c>
      <c r="K176" s="7">
        <v>0.1238446522</v>
      </c>
      <c r="L176" s="7">
        <v>0.1349731636</v>
      </c>
      <c r="M176" s="7">
        <v>0.1245869255</v>
      </c>
      <c r="N176" s="7">
        <v>0.1156414127</v>
      </c>
      <c r="O176" s="7">
        <v>0.12842278479999999</v>
      </c>
      <c r="P176" s="7">
        <v>0.1264099789</v>
      </c>
      <c r="Q176" s="7">
        <v>0.1216323185</v>
      </c>
      <c r="R176" s="7">
        <v>0.1266222954</v>
      </c>
      <c r="S176" s="7">
        <v>0.1247859097</v>
      </c>
      <c r="T176" s="7">
        <v>0.13580285070000001</v>
      </c>
      <c r="U176" s="7">
        <v>0.13104315759999999</v>
      </c>
      <c r="V176" s="7">
        <v>0.13123561859999999</v>
      </c>
      <c r="W176" s="7">
        <v>0.13280451770000001</v>
      </c>
      <c r="X176" s="7">
        <v>0.12153778079999999</v>
      </c>
      <c r="Y176" s="7">
        <v>0.13704606059999999</v>
      </c>
      <c r="Z176" s="7">
        <v>0.1601324844</v>
      </c>
      <c r="AA176" s="7">
        <v>0.15556082730000001</v>
      </c>
      <c r="AB176" s="7"/>
      <c r="AC176" s="9">
        <f t="shared" si="20"/>
        <v>0.15556082730000001</v>
      </c>
      <c r="AD176" s="10" t="str">
        <f t="shared" si="21"/>
        <v>2023</v>
      </c>
      <c r="AE176" s="9">
        <f t="shared" si="22"/>
        <v>0.14141633416000002</v>
      </c>
      <c r="AF176" s="9">
        <f t="shared" si="23"/>
        <v>0</v>
      </c>
    </row>
    <row r="177" spans="1:32" x14ac:dyDescent="0.2">
      <c r="A177" s="6" t="s">
        <v>162</v>
      </c>
      <c r="B177" s="6" t="s">
        <v>163</v>
      </c>
      <c r="C177" s="6"/>
      <c r="D177" s="7"/>
      <c r="E177" s="7"/>
      <c r="F177" s="7"/>
      <c r="G177" s="7">
        <v>1.62494636E-2</v>
      </c>
      <c r="H177" s="7">
        <v>2.2540574100000009E-2</v>
      </c>
      <c r="I177" s="7">
        <v>3.6345334100000001E-2</v>
      </c>
      <c r="J177" s="7">
        <v>4.0001564000000003E-2</v>
      </c>
      <c r="K177" s="7">
        <v>1.27376139E-2</v>
      </c>
      <c r="L177" s="7">
        <v>2.7769403500000001E-2</v>
      </c>
      <c r="M177" s="7">
        <v>2.6631960900000001E-2</v>
      </c>
      <c r="N177" s="7">
        <v>2.71049976E-2</v>
      </c>
      <c r="O177" s="7">
        <v>2.676809790000001E-2</v>
      </c>
      <c r="P177" s="7">
        <v>3.2064051599999997E-2</v>
      </c>
      <c r="Q177" s="7">
        <v>4.6244411500000013E-2</v>
      </c>
      <c r="R177" s="7">
        <v>3.7185554500000009E-2</v>
      </c>
      <c r="S177" s="7">
        <v>4.5054521600000001E-2</v>
      </c>
      <c r="T177" s="7">
        <v>3.071739200000001E-2</v>
      </c>
      <c r="U177" s="7">
        <v>5.1460442500000002E-2</v>
      </c>
      <c r="V177" s="7">
        <v>4.6211514500000009E-2</v>
      </c>
      <c r="W177" s="7">
        <v>4.1934099200000012E-2</v>
      </c>
      <c r="X177" s="7">
        <v>6.5902075800000001E-2</v>
      </c>
      <c r="Y177" s="7">
        <v>6.9707312599999988E-2</v>
      </c>
      <c r="Z177" s="7">
        <v>8.9028816200000027E-2</v>
      </c>
      <c r="AA177" s="7">
        <v>9.1623792600000004E-2</v>
      </c>
      <c r="AB177" s="7"/>
      <c r="AC177" s="9">
        <f t="shared" si="20"/>
        <v>9.1623792600000004E-2</v>
      </c>
      <c r="AD177" s="10" t="str">
        <f t="shared" si="21"/>
        <v>2023</v>
      </c>
      <c r="AE177" s="9">
        <f t="shared" si="22"/>
        <v>7.1639219280000013E-2</v>
      </c>
      <c r="AF177" s="9">
        <f t="shared" si="23"/>
        <v>5.8376207399999991E-2</v>
      </c>
    </row>
    <row r="178" spans="1:32" x14ac:dyDescent="0.2">
      <c r="A178" s="6" t="s">
        <v>164</v>
      </c>
      <c r="B178" s="6" t="s">
        <v>165</v>
      </c>
      <c r="C178" s="6"/>
      <c r="D178" s="7">
        <v>2.44484162E-2</v>
      </c>
      <c r="E178" s="7">
        <v>2.99478221E-2</v>
      </c>
      <c r="F178" s="7">
        <v>4.051334379999999E-2</v>
      </c>
      <c r="G178" s="7">
        <v>4.2420878400000007E-2</v>
      </c>
      <c r="H178" s="7">
        <v>4.2055535299999988E-2</v>
      </c>
      <c r="I178" s="7">
        <v>3.8008155799999999E-2</v>
      </c>
      <c r="J178" s="7">
        <v>3.8319191900000001E-2</v>
      </c>
      <c r="K178" s="7">
        <v>4.3449535400000003E-2</v>
      </c>
      <c r="L178" s="7">
        <v>4.8437166200000013E-2</v>
      </c>
      <c r="M178" s="7">
        <v>4.7768583300000007E-2</v>
      </c>
      <c r="N178" s="7">
        <v>7.4458599099999981E-2</v>
      </c>
      <c r="O178" s="7">
        <v>5.6692528700000001E-2</v>
      </c>
      <c r="P178" s="7">
        <v>6.1090674400000003E-2</v>
      </c>
      <c r="Q178" s="7">
        <v>4.6896562599999997E-2</v>
      </c>
      <c r="R178" s="7">
        <v>4.5581021300000003E-2</v>
      </c>
      <c r="S178" s="7">
        <v>4.03825331E-2</v>
      </c>
      <c r="T178" s="7">
        <v>4.2586369500000013E-2</v>
      </c>
      <c r="U178" s="7">
        <v>6.4504060700000018E-2</v>
      </c>
      <c r="V178" s="7">
        <v>5.4890213E-2</v>
      </c>
      <c r="W178" s="7">
        <v>5.3817400899999993E-2</v>
      </c>
      <c r="X178" s="7">
        <v>3.8512246599999987E-2</v>
      </c>
      <c r="Y178" s="7">
        <v>2.5608844799999999E-2</v>
      </c>
      <c r="Z178" s="8">
        <v>2.5608844799999999E-2</v>
      </c>
      <c r="AA178" s="8">
        <v>2.5608844799999999E-2</v>
      </c>
      <c r="AB178" s="7"/>
      <c r="AC178" s="9">
        <f t="shared" si="20"/>
        <v>2.5608844799999999E-2</v>
      </c>
      <c r="AD178" s="10" t="str">
        <f t="shared" si="21"/>
        <v>2023</v>
      </c>
      <c r="AE178" s="9">
        <f t="shared" si="22"/>
        <v>3.3831236379999997E-2</v>
      </c>
      <c r="AF178" s="9">
        <f t="shared" si="23"/>
        <v>0.12439115519999999</v>
      </c>
    </row>
    <row r="179" spans="1:32" x14ac:dyDescent="0.2">
      <c r="A179" s="6" t="s">
        <v>397</v>
      </c>
      <c r="B179" s="6" t="s">
        <v>398</v>
      </c>
      <c r="C179" s="6"/>
      <c r="D179" s="7">
        <v>0.11413064959999999</v>
      </c>
      <c r="E179" s="7">
        <v>0.12736163140000001</v>
      </c>
      <c r="F179" s="7">
        <v>0.12137666699999999</v>
      </c>
      <c r="G179" s="7">
        <v>0.12088766099999999</v>
      </c>
      <c r="H179" s="7">
        <v>0.12738384250000001</v>
      </c>
      <c r="I179" s="7">
        <v>0.13109792710000001</v>
      </c>
      <c r="J179" s="7">
        <v>0.1115502167</v>
      </c>
      <c r="K179" s="7">
        <v>0.13680938719999999</v>
      </c>
      <c r="L179" s="7">
        <v>0.12081209179999999</v>
      </c>
      <c r="M179" s="7">
        <v>0.12716961860000001</v>
      </c>
      <c r="N179" s="7">
        <v>0.1006633854</v>
      </c>
      <c r="O179" s="7">
        <v>8.3993663800000007E-2</v>
      </c>
      <c r="P179" s="7">
        <v>8.685415270000002E-2</v>
      </c>
      <c r="Q179" s="7">
        <v>8.1086273200000017E-2</v>
      </c>
      <c r="R179" s="7">
        <v>9.1768760700000021E-2</v>
      </c>
      <c r="S179" s="7">
        <v>7.3824343700000003E-2</v>
      </c>
      <c r="T179" s="7">
        <v>8.0312480900000024E-2</v>
      </c>
      <c r="U179" s="7">
        <v>7.3240232500000002E-2</v>
      </c>
      <c r="V179" s="7">
        <v>8.0662593800000001E-2</v>
      </c>
      <c r="W179" s="7">
        <v>7.5142416999999989E-2</v>
      </c>
      <c r="X179" s="7">
        <v>7.8810915900000014E-2</v>
      </c>
      <c r="Y179" s="7">
        <v>7.3447637599999976E-2</v>
      </c>
      <c r="Z179" s="7">
        <v>8.6542482400000009E-2</v>
      </c>
      <c r="AA179" s="7">
        <v>7.0623583799999987E-2</v>
      </c>
      <c r="AB179" s="7"/>
      <c r="AC179" s="9">
        <f t="shared" si="20"/>
        <v>7.0623583799999987E-2</v>
      </c>
      <c r="AD179" s="10" t="str">
        <f t="shared" si="21"/>
        <v>2023</v>
      </c>
      <c r="AE179" s="9">
        <f t="shared" si="22"/>
        <v>7.6913407340000003E-2</v>
      </c>
      <c r="AF179" s="9">
        <f t="shared" si="23"/>
        <v>7.9376416200000008E-2</v>
      </c>
    </row>
    <row r="180" spans="1:32" x14ac:dyDescent="0.2">
      <c r="A180" s="6" t="s">
        <v>399</v>
      </c>
      <c r="B180" s="6" t="s">
        <v>400</v>
      </c>
      <c r="C180" s="6"/>
      <c r="D180" s="7">
        <v>6.7857294099999979E-2</v>
      </c>
      <c r="E180" s="7">
        <v>7.0224642800000001E-2</v>
      </c>
      <c r="F180" s="7">
        <v>8.0497255299999987E-2</v>
      </c>
      <c r="G180" s="7">
        <v>8.5635004000000001E-2</v>
      </c>
      <c r="H180" s="7">
        <v>8.2666006099999995E-2</v>
      </c>
      <c r="I180" s="7">
        <v>8.0257120099999996E-2</v>
      </c>
      <c r="J180" s="7">
        <v>5.90168571E-2</v>
      </c>
      <c r="K180" s="7">
        <v>7.451420780000001E-2</v>
      </c>
      <c r="L180" s="7">
        <v>6.5543131799999987E-2</v>
      </c>
      <c r="M180" s="7">
        <v>7.0506687200000015E-2</v>
      </c>
      <c r="N180" s="7">
        <v>8.0440607100000006E-2</v>
      </c>
      <c r="O180" s="7">
        <v>8.0088806200000015E-2</v>
      </c>
      <c r="P180" s="7">
        <v>7.6598548900000007E-2</v>
      </c>
      <c r="Q180" s="7">
        <v>7.8930697400000013E-2</v>
      </c>
      <c r="R180" s="7">
        <v>7.474795820000002E-2</v>
      </c>
      <c r="S180" s="7">
        <v>8.3091039699999994E-2</v>
      </c>
      <c r="T180" s="7">
        <v>0.1017078686</v>
      </c>
      <c r="U180" s="7">
        <v>0.1117306709</v>
      </c>
      <c r="V180" s="7">
        <v>0.1066987896</v>
      </c>
      <c r="W180" s="7">
        <v>0.1023995018</v>
      </c>
      <c r="X180" s="7">
        <v>9.5647916799999996E-2</v>
      </c>
      <c r="Y180" s="7">
        <v>0.1107291508</v>
      </c>
      <c r="Z180" s="7">
        <v>0.1115391159</v>
      </c>
      <c r="AA180" s="7">
        <v>0.1106523609</v>
      </c>
      <c r="AB180" s="7"/>
      <c r="AC180" s="9">
        <f t="shared" si="20"/>
        <v>0.1106523609</v>
      </c>
      <c r="AD180" s="10" t="str">
        <f t="shared" si="21"/>
        <v>2023</v>
      </c>
      <c r="AE180" s="9">
        <f t="shared" si="22"/>
        <v>0.10619360923999999</v>
      </c>
      <c r="AF180" s="9">
        <f t="shared" si="23"/>
        <v>3.9347639099999998E-2</v>
      </c>
    </row>
    <row r="181" spans="1:32" x14ac:dyDescent="0.2">
      <c r="A181" s="6" t="s">
        <v>401</v>
      </c>
      <c r="B181" s="6" t="s">
        <v>402</v>
      </c>
      <c r="C181" s="6"/>
      <c r="D181" s="7">
        <v>0.1054292107</v>
      </c>
      <c r="E181" s="7">
        <v>0.10575681689999999</v>
      </c>
      <c r="F181" s="7">
        <v>0.1098641014</v>
      </c>
      <c r="G181" s="7">
        <v>0.11407844540000001</v>
      </c>
      <c r="H181" s="7">
        <v>0.1154679012</v>
      </c>
      <c r="I181" s="7">
        <v>0.1135010338</v>
      </c>
      <c r="J181" s="7">
        <v>0.1173456955</v>
      </c>
      <c r="K181" s="7">
        <v>0.1184733677</v>
      </c>
      <c r="L181" s="7">
        <v>0.1184145737</v>
      </c>
      <c r="M181" s="7">
        <v>0.120754261</v>
      </c>
      <c r="N181" s="7">
        <v>0.1303182125</v>
      </c>
      <c r="O181" s="7">
        <v>0.1238613319</v>
      </c>
      <c r="P181" s="7">
        <v>0.1263853073</v>
      </c>
      <c r="Q181" s="7">
        <v>0.1249827194</v>
      </c>
      <c r="R181" s="7">
        <v>0.13543437959999999</v>
      </c>
      <c r="S181" s="7">
        <v>0.121791687</v>
      </c>
      <c r="T181" s="7">
        <v>0.1251508331</v>
      </c>
      <c r="U181" s="7">
        <v>0.1156142235</v>
      </c>
      <c r="V181" s="7">
        <v>0.1078331375</v>
      </c>
      <c r="W181" s="7">
        <v>0.12078944210000001</v>
      </c>
      <c r="X181" s="7">
        <v>0.1248706436</v>
      </c>
      <c r="Y181" s="7">
        <v>0.1238628578</v>
      </c>
      <c r="Z181" s="7">
        <v>0.1083969498</v>
      </c>
      <c r="AA181" s="7">
        <v>0.12100215910000001</v>
      </c>
      <c r="AB181" s="7"/>
      <c r="AC181" s="9">
        <f t="shared" si="20"/>
        <v>0.12100215910000001</v>
      </c>
      <c r="AD181" s="10" t="str">
        <f t="shared" si="21"/>
        <v>2023</v>
      </c>
      <c r="AE181" s="9">
        <f t="shared" si="22"/>
        <v>0.11978441048000002</v>
      </c>
      <c r="AF181" s="9">
        <f t="shared" si="23"/>
        <v>2.8997840899999988E-2</v>
      </c>
    </row>
    <row r="182" spans="1:32" x14ac:dyDescent="0.2">
      <c r="A182" s="6" t="s">
        <v>403</v>
      </c>
      <c r="B182" s="6" t="s">
        <v>404</v>
      </c>
      <c r="C182" s="6"/>
      <c r="D182" s="7">
        <v>0.1333598137</v>
      </c>
      <c r="E182" s="7">
        <v>0.13359631540000011</v>
      </c>
      <c r="F182" s="7">
        <v>0.13472137449999999</v>
      </c>
      <c r="G182" s="7">
        <v>0.1399738979</v>
      </c>
      <c r="H182" s="7">
        <v>0.12822812080000001</v>
      </c>
      <c r="I182" s="7">
        <v>0.1027287388</v>
      </c>
      <c r="J182" s="7">
        <v>0.1033549213</v>
      </c>
      <c r="K182" s="7">
        <v>0.1032131672</v>
      </c>
      <c r="L182" s="7">
        <v>8.7096386000000012E-2</v>
      </c>
      <c r="M182" s="7">
        <v>8.7062273000000037E-2</v>
      </c>
      <c r="N182" s="7">
        <v>8.7116909000000006E-2</v>
      </c>
      <c r="O182" s="7">
        <v>8.7003269199999997E-2</v>
      </c>
      <c r="P182" s="7">
        <v>8.7054920199999997E-2</v>
      </c>
      <c r="Q182" s="7">
        <v>8.7096576699999997E-2</v>
      </c>
      <c r="R182" s="7">
        <v>8.7137432099999981E-2</v>
      </c>
      <c r="S182" s="7">
        <v>8.7114543900000022E-2</v>
      </c>
      <c r="T182" s="7">
        <v>8.7136755000000024E-2</v>
      </c>
      <c r="U182" s="7">
        <v>8.7139244100000013E-2</v>
      </c>
      <c r="V182" s="7">
        <v>8.7140722299999987E-2</v>
      </c>
      <c r="W182" s="7">
        <v>8.7142238600000005E-2</v>
      </c>
      <c r="X182" s="7">
        <v>8.7085781099999995E-2</v>
      </c>
      <c r="Y182" s="7">
        <v>8.6834363900000003E-2</v>
      </c>
      <c r="Z182" s="7">
        <v>8.4600944499999997E-2</v>
      </c>
      <c r="AA182" s="7">
        <v>8.6190538399999989E-2</v>
      </c>
      <c r="AB182" s="7"/>
      <c r="AC182" s="9">
        <f t="shared" si="20"/>
        <v>8.6190538399999989E-2</v>
      </c>
      <c r="AD182" s="10" t="str">
        <f t="shared" si="21"/>
        <v>2023</v>
      </c>
      <c r="AE182" s="9">
        <f t="shared" si="22"/>
        <v>8.6370773300000009E-2</v>
      </c>
      <c r="AF182" s="9">
        <f t="shared" si="23"/>
        <v>6.3809461600000006E-2</v>
      </c>
    </row>
    <row r="183" spans="1:32" x14ac:dyDescent="0.2">
      <c r="A183" s="6" t="s">
        <v>405</v>
      </c>
      <c r="B183" s="6" t="s">
        <v>406</v>
      </c>
      <c r="C183" s="6"/>
      <c r="D183" s="7">
        <v>0.1193384361</v>
      </c>
      <c r="E183" s="7">
        <v>0.114551363</v>
      </c>
      <c r="F183" s="7">
        <v>0.1125467587</v>
      </c>
      <c r="G183" s="7">
        <v>0.12855304719999999</v>
      </c>
      <c r="H183" s="7">
        <v>0.11935709</v>
      </c>
      <c r="I183" s="7">
        <v>0.1157466888</v>
      </c>
      <c r="J183" s="7">
        <v>9.885509490000001E-2</v>
      </c>
      <c r="K183" s="7">
        <v>0.1070711422</v>
      </c>
      <c r="L183" s="7">
        <v>0.11082201</v>
      </c>
      <c r="M183" s="7">
        <v>0.10030536650000001</v>
      </c>
      <c r="N183" s="7">
        <v>0.1399229622</v>
      </c>
      <c r="O183" s="7">
        <v>0.1506519794</v>
      </c>
      <c r="P183" s="7">
        <v>0.1551164532</v>
      </c>
      <c r="Q183" s="7">
        <v>0.12361054420000001</v>
      </c>
      <c r="R183" s="7">
        <v>0.12670680049999999</v>
      </c>
      <c r="S183" s="7">
        <v>8.7186174400000011E-2</v>
      </c>
      <c r="T183" s="7">
        <v>0.12993267059999999</v>
      </c>
      <c r="U183" s="7">
        <v>0.17955345149999999</v>
      </c>
      <c r="V183" s="7">
        <v>0.1226143551</v>
      </c>
      <c r="W183" s="7">
        <v>0.15217722889999999</v>
      </c>
      <c r="X183" s="7">
        <v>0.1250354004</v>
      </c>
      <c r="Y183" s="7">
        <v>8.7260255800000006E-2</v>
      </c>
      <c r="Z183" s="7">
        <v>0.16098815920000001</v>
      </c>
      <c r="AA183" s="7">
        <v>0.1748996162</v>
      </c>
      <c r="AB183" s="7"/>
      <c r="AC183" s="9">
        <f t="shared" si="20"/>
        <v>0.1748996162</v>
      </c>
      <c r="AD183" s="10" t="str">
        <f t="shared" si="21"/>
        <v>2023</v>
      </c>
      <c r="AE183" s="9">
        <f t="shared" si="22"/>
        <v>0.14007213210000002</v>
      </c>
      <c r="AF183" s="9">
        <f t="shared" si="23"/>
        <v>0</v>
      </c>
    </row>
    <row r="184" spans="1:32" x14ac:dyDescent="0.2">
      <c r="A184" s="6" t="s">
        <v>407</v>
      </c>
      <c r="B184" s="6" t="s">
        <v>408</v>
      </c>
      <c r="C184" s="6"/>
      <c r="D184" s="7">
        <v>7.1863274599999985E-2</v>
      </c>
      <c r="E184" s="7">
        <v>7.4644136400000005E-2</v>
      </c>
      <c r="F184" s="7">
        <v>8.636954309999996E-2</v>
      </c>
      <c r="G184" s="7">
        <v>9.2914695700000008E-2</v>
      </c>
      <c r="H184" s="7">
        <v>0.10186614989999999</v>
      </c>
      <c r="I184" s="7">
        <v>0.10324464799999999</v>
      </c>
      <c r="J184" s="7">
        <v>0.1055690098</v>
      </c>
      <c r="K184" s="7">
        <v>0.1095228481</v>
      </c>
      <c r="L184" s="7">
        <v>0.1125649643</v>
      </c>
      <c r="M184" s="7">
        <v>0.118805933</v>
      </c>
      <c r="N184" s="7">
        <v>0.1103767395</v>
      </c>
      <c r="O184" s="7">
        <v>0.11221045490000001</v>
      </c>
      <c r="P184" s="7">
        <v>0.1030854511</v>
      </c>
      <c r="Q184" s="7">
        <v>0.10161831859999999</v>
      </c>
      <c r="R184" s="7">
        <v>0.1029003143</v>
      </c>
      <c r="S184" s="7">
        <v>9.9080238299999998E-2</v>
      </c>
      <c r="T184" s="7">
        <v>9.9437589600000001E-2</v>
      </c>
      <c r="U184" s="7">
        <v>9.9603004499999981E-2</v>
      </c>
      <c r="V184" s="7">
        <v>9.2988805800000005E-2</v>
      </c>
      <c r="W184" s="7">
        <v>9.5361185099999995E-2</v>
      </c>
      <c r="X184" s="7">
        <v>0.1049731636</v>
      </c>
      <c r="Y184" s="7">
        <v>0.1148819828</v>
      </c>
      <c r="Z184" s="7">
        <v>0.1018368053</v>
      </c>
      <c r="AA184" s="7">
        <v>9.7804536800000008E-2</v>
      </c>
      <c r="AB184" s="7"/>
      <c r="AC184" s="9">
        <f t="shared" si="20"/>
        <v>9.7804536800000008E-2</v>
      </c>
      <c r="AD184" s="10" t="str">
        <f t="shared" si="21"/>
        <v>2023</v>
      </c>
      <c r="AE184" s="9">
        <f t="shared" si="22"/>
        <v>0.10297153472000001</v>
      </c>
      <c r="AF184" s="9">
        <f t="shared" si="23"/>
        <v>5.2195463199999986E-2</v>
      </c>
    </row>
    <row r="185" spans="1:32" x14ac:dyDescent="0.2">
      <c r="A185" s="6" t="s">
        <v>166</v>
      </c>
      <c r="B185" s="6" t="s">
        <v>167</v>
      </c>
      <c r="C185" s="6" t="s">
        <v>49</v>
      </c>
      <c r="D185" s="7">
        <v>8.3307647699999987E-2</v>
      </c>
      <c r="E185" s="8">
        <v>8.3307647699999987E-2</v>
      </c>
      <c r="F185" s="7">
        <v>8.7481050500000018E-2</v>
      </c>
      <c r="G185" s="7">
        <v>8.9497604400000028E-2</v>
      </c>
      <c r="H185" s="7">
        <v>8.7673616400000001E-2</v>
      </c>
      <c r="I185" s="7">
        <v>7.1352629700000017E-2</v>
      </c>
      <c r="J185" s="7">
        <v>7.1609377900000007E-2</v>
      </c>
      <c r="K185" s="7">
        <v>7.7929120099999999E-2</v>
      </c>
      <c r="L185" s="7">
        <v>7.2511458400000006E-2</v>
      </c>
      <c r="M185" s="7">
        <v>7.0329055799999998E-2</v>
      </c>
      <c r="N185" s="7">
        <v>7.1137475999999991E-2</v>
      </c>
      <c r="O185" s="7">
        <v>6.8970098499999993E-2</v>
      </c>
      <c r="P185" s="7">
        <v>7.0504431700000009E-2</v>
      </c>
      <c r="Q185" s="7">
        <v>7.3242754899999998E-2</v>
      </c>
      <c r="R185" s="7">
        <v>7.008980749999999E-2</v>
      </c>
      <c r="S185" s="7">
        <v>5.0845341699999998E-2</v>
      </c>
      <c r="T185" s="7">
        <v>5.1781930899999988E-2</v>
      </c>
      <c r="U185" s="7">
        <v>3.9216382499999987E-2</v>
      </c>
      <c r="V185" s="7">
        <v>4.1681151399999991E-2</v>
      </c>
      <c r="W185" s="7">
        <v>3.1388299500000008E-2</v>
      </c>
      <c r="X185" s="7">
        <v>5.5540356599999993E-2</v>
      </c>
      <c r="Y185" s="7">
        <v>5.3535799999999988E-2</v>
      </c>
      <c r="Z185" s="7">
        <v>4.8603987699999997E-2</v>
      </c>
      <c r="AA185" s="8">
        <v>4.8603987699999997E-2</v>
      </c>
      <c r="AB185" s="7"/>
      <c r="AC185" s="9">
        <f t="shared" si="20"/>
        <v>4.8603987699999997E-2</v>
      </c>
      <c r="AD185" s="10" t="str">
        <f t="shared" si="21"/>
        <v>2023</v>
      </c>
      <c r="AE185" s="9">
        <f t="shared" si="22"/>
        <v>4.7534486299999998E-2</v>
      </c>
      <c r="AF185" s="9">
        <f t="shared" si="23"/>
        <v>0.1013960123</v>
      </c>
    </row>
    <row r="186" spans="1:32" x14ac:dyDescent="0.2">
      <c r="A186" s="6" t="s">
        <v>409</v>
      </c>
      <c r="B186" s="6" t="s">
        <v>410</v>
      </c>
      <c r="C186" s="6"/>
      <c r="D186" s="7">
        <v>7.0812144300000004E-2</v>
      </c>
      <c r="E186" s="7">
        <v>7.6345491400000021E-2</v>
      </c>
      <c r="F186" s="7">
        <v>8.1063175200000004E-2</v>
      </c>
      <c r="G186" s="7">
        <v>9.3855028199999996E-2</v>
      </c>
      <c r="H186" s="7">
        <v>8.1810751000000015E-2</v>
      </c>
      <c r="I186" s="7">
        <v>8.4318809500000022E-2</v>
      </c>
      <c r="J186" s="7">
        <v>8.6968965500000023E-2</v>
      </c>
      <c r="K186" s="7">
        <v>8.1602420799999992E-2</v>
      </c>
      <c r="L186" s="7">
        <v>6.77591944E-2</v>
      </c>
      <c r="M186" s="7">
        <v>7.9185595499999997E-2</v>
      </c>
      <c r="N186" s="7">
        <v>7.5004987700000025E-2</v>
      </c>
      <c r="O186" s="7">
        <v>7.4928116799999986E-2</v>
      </c>
      <c r="P186" s="7">
        <v>7.6404085199999999E-2</v>
      </c>
      <c r="Q186" s="7">
        <v>6.944655420000001E-2</v>
      </c>
      <c r="R186" s="7">
        <v>7.7191510200000008E-2</v>
      </c>
      <c r="S186" s="7">
        <v>8.5691032400000006E-2</v>
      </c>
      <c r="T186" s="7">
        <v>8.938675879999998E-2</v>
      </c>
      <c r="U186" s="7">
        <v>8.4469690299999983E-2</v>
      </c>
      <c r="V186" s="7">
        <v>8.3525476500000001E-2</v>
      </c>
      <c r="W186" s="7">
        <v>7.6558141700000013E-2</v>
      </c>
      <c r="X186" s="7">
        <v>8.1734180499999989E-2</v>
      </c>
      <c r="Y186" s="7">
        <v>0.1056005383</v>
      </c>
      <c r="Z186" s="7"/>
      <c r="AA186" s="7"/>
      <c r="AB186" s="7"/>
      <c r="AC186" s="9">
        <f t="shared" si="20"/>
        <v>0.1056005383</v>
      </c>
      <c r="AD186" s="10" t="str">
        <f t="shared" si="21"/>
        <v>2021</v>
      </c>
      <c r="AE186" s="9">
        <f t="shared" si="22"/>
        <v>8.7964286833333336E-2</v>
      </c>
      <c r="AF186" s="9">
        <f t="shared" si="23"/>
        <v>4.439946169999999E-2</v>
      </c>
    </row>
    <row r="187" spans="1:32" x14ac:dyDescent="0.2">
      <c r="A187" s="6" t="s">
        <v>411</v>
      </c>
      <c r="B187" s="6" t="s">
        <v>412</v>
      </c>
      <c r="C187" s="6"/>
      <c r="D187" s="7">
        <v>7.56610489E-2</v>
      </c>
      <c r="E187" s="7">
        <v>7.583577159999999E-2</v>
      </c>
      <c r="F187" s="7">
        <v>7.8003139499999999E-2</v>
      </c>
      <c r="G187" s="7">
        <v>8.0875043900000013E-2</v>
      </c>
      <c r="H187" s="7">
        <v>7.9402065299999977E-2</v>
      </c>
      <c r="I187" s="7">
        <v>8.3768234299999994E-2</v>
      </c>
      <c r="J187" s="7">
        <v>8.5271625500000003E-2</v>
      </c>
      <c r="K187" s="7">
        <v>8.5268859900000007E-2</v>
      </c>
      <c r="L187" s="7">
        <v>8.5266685499999995E-2</v>
      </c>
      <c r="M187" s="7">
        <v>8.5268888499999987E-2</v>
      </c>
      <c r="N187" s="7">
        <v>8.5267906200000021E-2</v>
      </c>
      <c r="O187" s="8">
        <v>8.5267667799999988E-2</v>
      </c>
      <c r="P187" s="7">
        <v>8.5267143200000006E-2</v>
      </c>
      <c r="Q187" s="7">
        <v>8.5267982499999992E-2</v>
      </c>
      <c r="R187" s="7">
        <v>7.7778220199999998E-2</v>
      </c>
      <c r="S187" s="7">
        <v>9.0666875800000019E-2</v>
      </c>
      <c r="T187" s="8">
        <v>9.0666875800000019E-2</v>
      </c>
      <c r="U187" s="7">
        <v>7.8089656799999976E-2</v>
      </c>
      <c r="V187" s="7">
        <v>7.9199399900000009E-2</v>
      </c>
      <c r="W187" s="8">
        <v>7.9199399900000009E-2</v>
      </c>
      <c r="X187" s="7">
        <v>0.11410918239999999</v>
      </c>
      <c r="Y187" s="7">
        <v>0.128867445</v>
      </c>
      <c r="Z187" s="7">
        <v>0.12979399680000001</v>
      </c>
      <c r="AA187" s="7">
        <v>0.1440998554</v>
      </c>
      <c r="AB187" s="7"/>
      <c r="AC187" s="9">
        <f t="shared" si="20"/>
        <v>0.1440998554</v>
      </c>
      <c r="AD187" s="10" t="str">
        <f t="shared" si="21"/>
        <v>2023</v>
      </c>
      <c r="AE187" s="9">
        <f t="shared" si="22"/>
        <v>0.1192139759</v>
      </c>
      <c r="AF187" s="9">
        <f t="shared" si="23"/>
        <v>5.9001445999999902E-3</v>
      </c>
    </row>
    <row r="188" spans="1:32" x14ac:dyDescent="0.2">
      <c r="A188" s="6" t="s">
        <v>413</v>
      </c>
      <c r="B188" s="6" t="s">
        <v>414</v>
      </c>
      <c r="C188" s="6"/>
      <c r="D188" s="7">
        <v>0.15968450549999999</v>
      </c>
      <c r="E188" s="7">
        <v>0.16280447009999999</v>
      </c>
      <c r="F188" s="7">
        <v>0.16801855090000001</v>
      </c>
      <c r="G188" s="7">
        <v>0.16952955250000001</v>
      </c>
      <c r="H188" s="7">
        <v>0.1753717232</v>
      </c>
      <c r="I188" s="7">
        <v>0.1772014999</v>
      </c>
      <c r="J188" s="7">
        <v>0.18315046309999999</v>
      </c>
      <c r="K188" s="7">
        <v>0.1823152542</v>
      </c>
      <c r="L188" s="7">
        <v>0.17926437379999999</v>
      </c>
      <c r="M188" s="7">
        <v>0.1824290848</v>
      </c>
      <c r="N188" s="7">
        <v>0.17962553019999999</v>
      </c>
      <c r="O188" s="7">
        <v>0.18422052380000001</v>
      </c>
      <c r="P188" s="7">
        <v>0.18401609420000001</v>
      </c>
      <c r="Q188" s="7">
        <v>0.18976633070000001</v>
      </c>
      <c r="R188" s="7">
        <v>0.19276622769999999</v>
      </c>
      <c r="S188" s="7">
        <v>0.19560649869999999</v>
      </c>
      <c r="T188" s="7">
        <v>0.19956138609999999</v>
      </c>
      <c r="U188" s="7">
        <v>0.19749370569999999</v>
      </c>
      <c r="V188" s="7">
        <v>0.20019351960000001</v>
      </c>
      <c r="W188" s="7">
        <v>0.2052682686</v>
      </c>
      <c r="X188" s="7">
        <v>0.20364418030000001</v>
      </c>
      <c r="Y188" s="7">
        <v>0.221180191</v>
      </c>
      <c r="Z188" s="7">
        <v>0.20654485699999989</v>
      </c>
      <c r="AA188" s="7">
        <v>0.2004862976</v>
      </c>
      <c r="AB188" s="7"/>
      <c r="AC188" s="9">
        <f t="shared" si="20"/>
        <v>0.2004862976</v>
      </c>
      <c r="AD188" s="10" t="str">
        <f t="shared" si="21"/>
        <v>2023</v>
      </c>
      <c r="AE188" s="9">
        <f t="shared" si="22"/>
        <v>0.20742475889999995</v>
      </c>
      <c r="AF188" s="9">
        <f t="shared" si="23"/>
        <v>0</v>
      </c>
    </row>
    <row r="189" spans="1:32" x14ac:dyDescent="0.2">
      <c r="A189" s="6" t="s">
        <v>168</v>
      </c>
      <c r="B189" s="6" t="s">
        <v>169</v>
      </c>
      <c r="C189" s="6"/>
      <c r="D189" s="7">
        <v>6.0520005199999991E-2</v>
      </c>
      <c r="E189" s="7">
        <v>8.7993106799999998E-2</v>
      </c>
      <c r="F189" s="7">
        <v>9.78842449E-2</v>
      </c>
      <c r="G189" s="7">
        <v>9.7085170700000015E-2</v>
      </c>
      <c r="H189" s="7">
        <v>0.1155348301</v>
      </c>
      <c r="I189" s="7">
        <v>0.12619913099999999</v>
      </c>
      <c r="J189" s="7">
        <v>0.1350882816</v>
      </c>
      <c r="K189" s="7">
        <v>0.1088657188</v>
      </c>
      <c r="L189" s="7">
        <v>0.1248550034</v>
      </c>
      <c r="M189" s="7">
        <v>7.5839614899999977E-2</v>
      </c>
      <c r="N189" s="7">
        <v>7.3213796599999992E-2</v>
      </c>
      <c r="O189" s="7">
        <v>6.7621192900000016E-2</v>
      </c>
      <c r="P189" s="7">
        <v>6.0057139399999987E-2</v>
      </c>
      <c r="Q189" s="7">
        <v>6.3068623500000004E-2</v>
      </c>
      <c r="R189" s="7">
        <v>6.9378466599999994E-2</v>
      </c>
      <c r="S189" s="7">
        <v>7.3306293500000008E-2</v>
      </c>
      <c r="T189" s="7">
        <v>9.5214338299999993E-2</v>
      </c>
      <c r="U189" s="8">
        <v>9.5214338299999993E-2</v>
      </c>
      <c r="V189" s="7">
        <v>9.4147319800000004E-2</v>
      </c>
      <c r="W189" s="7">
        <v>9.4380102199999982E-2</v>
      </c>
      <c r="X189" s="7">
        <v>4.9400014900000011E-2</v>
      </c>
      <c r="Y189" s="7">
        <v>5.1351699799999991E-2</v>
      </c>
      <c r="Z189" s="8">
        <v>5.1351699799999991E-2</v>
      </c>
      <c r="AA189" s="8">
        <v>5.1351699799999991E-2</v>
      </c>
      <c r="AB189" s="7"/>
      <c r="AC189" s="9">
        <f t="shared" si="20"/>
        <v>5.1351699799999991E-2</v>
      </c>
      <c r="AD189" s="10" t="str">
        <f t="shared" si="21"/>
        <v>2023</v>
      </c>
      <c r="AE189" s="9">
        <f t="shared" si="22"/>
        <v>5.956704329999999E-2</v>
      </c>
      <c r="AF189" s="9">
        <f t="shared" si="23"/>
        <v>9.8648300200000011E-2</v>
      </c>
    </row>
    <row r="190" spans="1:32" x14ac:dyDescent="0.2">
      <c r="A190" s="6" t="s">
        <v>415</v>
      </c>
      <c r="B190" s="6" t="s">
        <v>416</v>
      </c>
      <c r="C190" s="6"/>
      <c r="D190" s="7">
        <v>0.16160938259999999</v>
      </c>
      <c r="E190" s="7">
        <v>0.16760179519999999</v>
      </c>
      <c r="F190" s="7">
        <v>0.17220174790000001</v>
      </c>
      <c r="G190" s="7">
        <v>0.175054512</v>
      </c>
      <c r="H190" s="7">
        <v>0.17926948549999999</v>
      </c>
      <c r="I190" s="7">
        <v>0.17941415790000001</v>
      </c>
      <c r="J190" s="7">
        <v>0.1857419968</v>
      </c>
      <c r="K190" s="7">
        <v>0.18498195649999999</v>
      </c>
      <c r="L190" s="7">
        <v>0.18201231000000001</v>
      </c>
      <c r="M190" s="7">
        <v>0.18225181579999999</v>
      </c>
      <c r="N190" s="7">
        <v>0.18434064869999989</v>
      </c>
      <c r="O190" s="7">
        <v>0.18927242280000001</v>
      </c>
      <c r="P190" s="7">
        <v>0.19640539169999999</v>
      </c>
      <c r="Q190" s="7">
        <v>0.20361495969999999</v>
      </c>
      <c r="R190" s="7">
        <v>0.21478607180000001</v>
      </c>
      <c r="S190" s="7">
        <v>0.22318107600000001</v>
      </c>
      <c r="T190" s="7">
        <v>0.224877243</v>
      </c>
      <c r="U190" s="7">
        <v>0.2258487129</v>
      </c>
      <c r="V190" s="7">
        <v>0.22588737489999999</v>
      </c>
      <c r="W190" s="7">
        <v>0.2248074913</v>
      </c>
      <c r="X190" s="7">
        <v>0.2229912567</v>
      </c>
      <c r="Y190" s="7">
        <v>0.2124764442</v>
      </c>
      <c r="Z190" s="7">
        <v>0.2377053261</v>
      </c>
      <c r="AA190" s="7">
        <v>0.23019134520000001</v>
      </c>
      <c r="AB190" s="7"/>
      <c r="AC190" s="9">
        <f t="shared" si="20"/>
        <v>0.23019134520000001</v>
      </c>
      <c r="AD190" s="10" t="str">
        <f t="shared" si="21"/>
        <v>2023</v>
      </c>
      <c r="AE190" s="9">
        <f t="shared" si="22"/>
        <v>0.2256343727</v>
      </c>
      <c r="AF190" s="9">
        <f t="shared" si="23"/>
        <v>0</v>
      </c>
    </row>
    <row r="191" spans="1:32" x14ac:dyDescent="0.2">
      <c r="A191" s="6" t="s">
        <v>417</v>
      </c>
      <c r="B191" s="6" t="s">
        <v>418</v>
      </c>
      <c r="C191" s="6"/>
      <c r="D191" s="7">
        <v>0.143447504</v>
      </c>
      <c r="E191" s="7">
        <v>0.15750482560000001</v>
      </c>
      <c r="F191" s="7">
        <v>0.16743907929999999</v>
      </c>
      <c r="G191" s="7">
        <v>0.18084415440000001</v>
      </c>
      <c r="H191" s="7">
        <v>0.16248447420000001</v>
      </c>
      <c r="I191" s="7">
        <v>0.13280859950000001</v>
      </c>
      <c r="J191" s="7">
        <v>0.13705223080000001</v>
      </c>
      <c r="K191" s="7">
        <v>0.1353648949</v>
      </c>
      <c r="L191" s="7">
        <v>0.17329479219999999</v>
      </c>
      <c r="M191" s="7">
        <v>0.17271924969999999</v>
      </c>
      <c r="N191" s="7">
        <v>0.17250566480000001</v>
      </c>
      <c r="O191" s="7">
        <v>0.18486295699999999</v>
      </c>
      <c r="P191" s="7">
        <v>0.18639425279999999</v>
      </c>
      <c r="Q191" s="7">
        <v>0.18633275990000001</v>
      </c>
      <c r="R191" s="7">
        <v>0.18821105960000001</v>
      </c>
      <c r="S191" s="7">
        <v>0.19922260280000001</v>
      </c>
      <c r="T191" s="7">
        <v>0.2024422646</v>
      </c>
      <c r="U191" s="7">
        <v>0.20319719310000001</v>
      </c>
      <c r="V191" s="7">
        <v>0.20260759349999999</v>
      </c>
      <c r="W191" s="7">
        <v>0.20106895450000001</v>
      </c>
      <c r="X191" s="7">
        <v>0.1982462311</v>
      </c>
      <c r="Y191" s="7">
        <v>0.2167057037</v>
      </c>
      <c r="Z191" s="7">
        <v>0.20944170000000001</v>
      </c>
      <c r="AA191" s="7">
        <v>0.2137979126</v>
      </c>
      <c r="AB191" s="7"/>
      <c r="AC191" s="9">
        <f t="shared" si="20"/>
        <v>0.2137979126</v>
      </c>
      <c r="AD191" s="10" t="str">
        <f t="shared" si="21"/>
        <v>2023</v>
      </c>
      <c r="AE191" s="9">
        <f t="shared" si="22"/>
        <v>0.20785210038000002</v>
      </c>
      <c r="AF191" s="9">
        <f t="shared" si="23"/>
        <v>0</v>
      </c>
    </row>
    <row r="192" spans="1:32" x14ac:dyDescent="0.2">
      <c r="A192" s="6" t="s">
        <v>419</v>
      </c>
      <c r="B192" s="6" t="s">
        <v>420</v>
      </c>
      <c r="C192" s="6"/>
      <c r="D192" s="7">
        <v>6.1087126700000001E-2</v>
      </c>
      <c r="E192" s="7">
        <v>6.6442546800000002E-2</v>
      </c>
      <c r="F192" s="7">
        <v>5.5845208200000003E-2</v>
      </c>
      <c r="G192" s="7">
        <v>6.0109639200000002E-2</v>
      </c>
      <c r="H192" s="7">
        <v>6.1376900699999987E-2</v>
      </c>
      <c r="I192" s="7">
        <v>6.4676809299999999E-2</v>
      </c>
      <c r="J192" s="7">
        <v>7.8006071999999996E-2</v>
      </c>
      <c r="K192" s="7">
        <v>7.2385048900000012E-2</v>
      </c>
      <c r="L192" s="7">
        <v>7.2344875299999986E-2</v>
      </c>
      <c r="M192" s="7">
        <v>7.2686467199999993E-2</v>
      </c>
      <c r="N192" s="7">
        <v>8.0393800700000004E-2</v>
      </c>
      <c r="O192" s="7">
        <v>8.8317766200000009E-2</v>
      </c>
      <c r="P192" s="7">
        <v>9.7625865900000011E-2</v>
      </c>
      <c r="Q192" s="7">
        <v>9.5182542799999992E-2</v>
      </c>
      <c r="R192" s="7">
        <v>9.3024368300000007E-2</v>
      </c>
      <c r="S192" s="7">
        <v>9.5965375900000011E-2</v>
      </c>
      <c r="T192" s="7">
        <v>8.8201379800000021E-2</v>
      </c>
      <c r="U192" s="7">
        <v>8.9911737400000025E-2</v>
      </c>
      <c r="V192" s="7">
        <v>7.8281478900000021E-2</v>
      </c>
      <c r="W192" s="7">
        <v>8.2782878900000009E-2</v>
      </c>
      <c r="X192" s="7">
        <v>0.1079321957</v>
      </c>
      <c r="Y192" s="7">
        <v>9.897933959999998E-2</v>
      </c>
      <c r="Z192" s="7">
        <v>7.1265058499999992E-2</v>
      </c>
      <c r="AA192" s="7">
        <v>7.8953466399999991E-2</v>
      </c>
      <c r="AB192" s="7"/>
      <c r="AC192" s="9">
        <f t="shared" si="20"/>
        <v>7.8953466399999991E-2</v>
      </c>
      <c r="AD192" s="10" t="str">
        <f t="shared" si="21"/>
        <v>2023</v>
      </c>
      <c r="AE192" s="9">
        <f t="shared" si="22"/>
        <v>8.7982587819999986E-2</v>
      </c>
      <c r="AF192" s="9">
        <f t="shared" si="23"/>
        <v>7.1046533600000003E-2</v>
      </c>
    </row>
    <row r="193" spans="1:32" x14ac:dyDescent="0.2">
      <c r="A193" s="6" t="s">
        <v>421</v>
      </c>
      <c r="B193" s="6" t="s">
        <v>422</v>
      </c>
      <c r="C193" s="6"/>
      <c r="D193" s="7">
        <v>9.7048282600000008E-2</v>
      </c>
      <c r="E193" s="7">
        <v>0.11265284540000001</v>
      </c>
      <c r="F193" s="7">
        <v>0.1174639893</v>
      </c>
      <c r="G193" s="7">
        <v>0.13214125630000001</v>
      </c>
      <c r="H193" s="7">
        <v>0.12556103709999999</v>
      </c>
      <c r="I193" s="7">
        <v>0.1170509243</v>
      </c>
      <c r="J193" s="7">
        <v>0.1067226028</v>
      </c>
      <c r="K193" s="7">
        <v>9.9023237200000017E-2</v>
      </c>
      <c r="L193" s="7">
        <v>8.1771211599999991E-2</v>
      </c>
      <c r="M193" s="7">
        <v>7.2669916200000018E-2</v>
      </c>
      <c r="N193" s="7">
        <v>6.8473067299999996E-2</v>
      </c>
      <c r="O193" s="7">
        <v>9.396476749999999E-2</v>
      </c>
      <c r="P193" s="7">
        <v>9.4026680000000015E-2</v>
      </c>
      <c r="Q193" s="7">
        <v>9.8033247000000004E-2</v>
      </c>
      <c r="R193" s="7">
        <v>2.5189924200000002E-2</v>
      </c>
      <c r="S193" s="7">
        <v>4.759871479999999E-2</v>
      </c>
      <c r="T193" s="7">
        <v>3.6621093799999997E-2</v>
      </c>
      <c r="U193" s="7">
        <v>3.9617447899999998E-2</v>
      </c>
      <c r="V193" s="7">
        <v>6.4368844000000008E-2</v>
      </c>
      <c r="W193" s="7">
        <v>4.7819380799999998E-2</v>
      </c>
      <c r="X193" s="7">
        <v>5.9300436999999998E-2</v>
      </c>
      <c r="Y193" s="7">
        <v>2.7763941300000001E-2</v>
      </c>
      <c r="Z193" s="7">
        <v>3.8552772999999999E-2</v>
      </c>
      <c r="AA193" s="7">
        <v>5.60082197E-2</v>
      </c>
      <c r="AB193" s="7"/>
      <c r="AC193" s="9">
        <f t="shared" si="20"/>
        <v>5.60082197E-2</v>
      </c>
      <c r="AD193" s="10" t="str">
        <f t="shared" si="21"/>
        <v>2023</v>
      </c>
      <c r="AE193" s="9">
        <f t="shared" si="22"/>
        <v>4.588895036E-2</v>
      </c>
      <c r="AF193" s="9">
        <f t="shared" si="23"/>
        <v>9.3991780299999994E-2</v>
      </c>
    </row>
    <row r="194" spans="1:32" x14ac:dyDescent="0.2">
      <c r="A194" s="6" t="s">
        <v>170</v>
      </c>
      <c r="B194" s="6" t="s">
        <v>171</v>
      </c>
      <c r="C194" s="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>
        <v>1.6975510100000001E-2</v>
      </c>
      <c r="W194" s="7">
        <v>1.6100202800000001E-2</v>
      </c>
      <c r="X194" s="7">
        <v>5.8499622299999998E-2</v>
      </c>
      <c r="Y194" s="7">
        <v>4.4399552299999999E-2</v>
      </c>
      <c r="Z194" s="7">
        <v>5.8742647200000012E-2</v>
      </c>
      <c r="AA194" s="7">
        <v>3.62696505E-2</v>
      </c>
      <c r="AB194" s="7"/>
      <c r="AC194" s="9">
        <f t="shared" si="20"/>
        <v>3.62696505E-2</v>
      </c>
      <c r="AD194" s="10" t="str">
        <f t="shared" si="21"/>
        <v>2023</v>
      </c>
      <c r="AE194" s="9">
        <f t="shared" si="22"/>
        <v>4.2802335019999999E-2</v>
      </c>
      <c r="AF194" s="9">
        <f t="shared" si="23"/>
        <v>0.11373034949999999</v>
      </c>
    </row>
    <row r="195" spans="1:32" x14ac:dyDescent="0.2">
      <c r="A195" s="6" t="s">
        <v>172</v>
      </c>
      <c r="B195" s="6" t="s">
        <v>173</v>
      </c>
      <c r="C195" s="6"/>
      <c r="D195" s="7">
        <v>9.4822588000000027E-2</v>
      </c>
      <c r="E195" s="7">
        <v>8.2020778700000005E-2</v>
      </c>
      <c r="F195" s="7">
        <v>8.6199598300000013E-2</v>
      </c>
      <c r="G195" s="7">
        <v>7.1603307699999993E-2</v>
      </c>
      <c r="H195" s="7">
        <v>8.6892518999999988E-2</v>
      </c>
      <c r="I195" s="7">
        <v>8.6692390399999986E-2</v>
      </c>
      <c r="J195" s="7">
        <v>8.7669868499999984E-2</v>
      </c>
      <c r="K195" s="7">
        <v>7.9369111099999987E-2</v>
      </c>
      <c r="L195" s="7">
        <v>8.1204872099999992E-2</v>
      </c>
      <c r="M195" s="7">
        <v>6.8530106500000021E-2</v>
      </c>
      <c r="N195" s="7">
        <v>8.6057291000000008E-2</v>
      </c>
      <c r="O195" s="7">
        <v>9.1072073000000003E-2</v>
      </c>
      <c r="P195" s="7">
        <v>9.5150404000000008E-2</v>
      </c>
      <c r="Q195" s="7">
        <v>8.1612138699999989E-2</v>
      </c>
      <c r="R195" s="7">
        <v>9.1232414200000014E-2</v>
      </c>
      <c r="S195" s="7">
        <v>8.4938516600000014E-2</v>
      </c>
      <c r="T195" s="7">
        <v>9.5965862299999996E-2</v>
      </c>
      <c r="U195" s="7">
        <v>0.10093238829999999</v>
      </c>
      <c r="V195" s="7">
        <v>0.1021770763</v>
      </c>
      <c r="W195" s="7">
        <v>0.1019859123</v>
      </c>
      <c r="X195" s="7">
        <v>8.42611885E-2</v>
      </c>
      <c r="Y195" s="7">
        <v>9.7406949999999992E-2</v>
      </c>
      <c r="Z195" s="7">
        <v>0.108293848</v>
      </c>
      <c r="AA195" s="7">
        <v>0.104517107</v>
      </c>
      <c r="AB195" s="7"/>
      <c r="AC195" s="9">
        <f t="shared" si="20"/>
        <v>0.104517107</v>
      </c>
      <c r="AD195" s="10" t="str">
        <f t="shared" si="21"/>
        <v>2023</v>
      </c>
      <c r="AE195" s="9">
        <f t="shared" si="22"/>
        <v>9.9293001160000005E-2</v>
      </c>
      <c r="AF195" s="9">
        <f t="shared" si="23"/>
        <v>4.5482892999999996E-2</v>
      </c>
    </row>
    <row r="196" spans="1:32" x14ac:dyDescent="0.2">
      <c r="A196" s="6" t="s">
        <v>423</v>
      </c>
      <c r="B196" s="6" t="s">
        <v>424</v>
      </c>
      <c r="C196" s="6"/>
      <c r="D196" s="7">
        <v>7.4852166200000014E-2</v>
      </c>
      <c r="E196" s="7">
        <v>8.1273813200000017E-2</v>
      </c>
      <c r="F196" s="7">
        <v>7.5723600400000007E-2</v>
      </c>
      <c r="G196" s="7">
        <v>6.8072261800000006E-2</v>
      </c>
      <c r="H196" s="7">
        <v>5.7168455100000008E-2</v>
      </c>
      <c r="I196" s="7">
        <v>4.5011510800000022E-2</v>
      </c>
      <c r="J196" s="7">
        <v>4.3505854599999998E-2</v>
      </c>
      <c r="K196" s="7">
        <v>3.8760111299999997E-2</v>
      </c>
      <c r="L196" s="7">
        <v>3.8858871500000003E-2</v>
      </c>
      <c r="M196" s="7">
        <v>3.71630144E-2</v>
      </c>
      <c r="N196" s="7">
        <v>3.8478016899999988E-2</v>
      </c>
      <c r="O196" s="7">
        <v>3.6599180699999997E-2</v>
      </c>
      <c r="P196" s="7">
        <v>3.4273407500000012E-2</v>
      </c>
      <c r="Q196" s="7">
        <v>3.1808235599999998E-2</v>
      </c>
      <c r="R196" s="7">
        <v>2.8203108299999991E-2</v>
      </c>
      <c r="S196" s="7">
        <v>2.2287218600000009E-2</v>
      </c>
      <c r="T196" s="7">
        <v>3.3646366599999998E-2</v>
      </c>
      <c r="U196" s="7">
        <v>3.6683499799999998E-2</v>
      </c>
      <c r="V196" s="7">
        <v>5.3921060599999987E-2</v>
      </c>
      <c r="W196" s="7">
        <v>6.9004273399999996E-2</v>
      </c>
      <c r="X196" s="7">
        <v>8.0740499500000007E-2</v>
      </c>
      <c r="Y196" s="7">
        <v>8.6239070899999992E-2</v>
      </c>
      <c r="Z196" s="7">
        <v>7.5457739799999993E-2</v>
      </c>
      <c r="AA196" s="7">
        <v>6.9632220299999992E-2</v>
      </c>
      <c r="AB196" s="7"/>
      <c r="AC196" s="9">
        <f t="shared" si="20"/>
        <v>6.9632220299999992E-2</v>
      </c>
      <c r="AD196" s="10" t="str">
        <f t="shared" si="21"/>
        <v>2023</v>
      </c>
      <c r="AE196" s="9">
        <f t="shared" si="22"/>
        <v>7.6214760779999988E-2</v>
      </c>
      <c r="AF196" s="9">
        <f t="shared" si="23"/>
        <v>8.0367779700000003E-2</v>
      </c>
    </row>
    <row r="197" spans="1:32" x14ac:dyDescent="0.2">
      <c r="A197" s="6" t="s">
        <v>174</v>
      </c>
      <c r="B197" s="6" t="s">
        <v>175</v>
      </c>
      <c r="C197" s="6"/>
      <c r="D197" s="7">
        <v>6.8847503699999993E-2</v>
      </c>
      <c r="E197" s="8">
        <v>6.8847503699999993E-2</v>
      </c>
      <c r="F197" s="8">
        <v>6.8847503699999993E-2</v>
      </c>
      <c r="G197" s="7">
        <v>5.322761539999999E-2</v>
      </c>
      <c r="H197" s="7">
        <v>5.65226936E-2</v>
      </c>
      <c r="I197" s="7">
        <v>5.5376410499999987E-2</v>
      </c>
      <c r="J197" s="7">
        <v>6.7470402699999987E-2</v>
      </c>
      <c r="K197" s="7">
        <v>7.4681029299999993E-2</v>
      </c>
      <c r="L197" s="7">
        <v>8.1471176099999987E-2</v>
      </c>
      <c r="M197" s="7">
        <v>9.3657865499999993E-2</v>
      </c>
      <c r="N197" s="7">
        <v>8.6339178099999997E-2</v>
      </c>
      <c r="O197" s="7">
        <v>8.0581131E-2</v>
      </c>
      <c r="P197" s="7">
        <v>7.0576958700000011E-2</v>
      </c>
      <c r="Q197" s="7">
        <v>5.4523167600000012E-2</v>
      </c>
      <c r="R197" s="7">
        <v>7.784662249999999E-2</v>
      </c>
      <c r="S197" s="7">
        <v>7.5614514400000013E-2</v>
      </c>
      <c r="T197" s="7">
        <v>7.1645693799999993E-2</v>
      </c>
      <c r="U197" s="7">
        <v>0.1005217934</v>
      </c>
      <c r="V197" s="7">
        <v>7.52910423E-2</v>
      </c>
      <c r="W197" s="7">
        <v>7.5730638500000017E-2</v>
      </c>
      <c r="X197" s="7">
        <v>0.1056005478</v>
      </c>
      <c r="Y197" s="7">
        <v>9.2548494299999978E-2</v>
      </c>
      <c r="Z197" s="7">
        <v>8.8887758300000008E-2</v>
      </c>
      <c r="AA197" s="8">
        <v>8.8887758300000008E-2</v>
      </c>
      <c r="AB197" s="7"/>
      <c r="AC197" s="9">
        <f t="shared" ref="AC197:AC228" si="24">LOOKUP(9.99E+307,D197:AB197)</f>
        <v>8.8887758300000008E-2</v>
      </c>
      <c r="AD197" s="10" t="str">
        <f t="shared" si="21"/>
        <v>2023</v>
      </c>
      <c r="AE197" s="9">
        <f t="shared" si="22"/>
        <v>9.0331039440000011E-2</v>
      </c>
      <c r="AF197" s="9">
        <f t="shared" si="23"/>
        <v>6.1112241699999986E-2</v>
      </c>
    </row>
    <row r="198" spans="1:32" x14ac:dyDescent="0.2">
      <c r="A198" s="6" t="s">
        <v>176</v>
      </c>
      <c r="B198" s="6" t="s">
        <v>177</v>
      </c>
      <c r="C198" s="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>
        <v>0.13766672129999999</v>
      </c>
      <c r="O198" s="7">
        <v>0.12717875479999999</v>
      </c>
      <c r="P198" s="7">
        <v>0.13991549489999999</v>
      </c>
      <c r="Q198" s="7">
        <v>8.0723657599999998E-2</v>
      </c>
      <c r="R198" s="7">
        <v>0.109262495</v>
      </c>
      <c r="S198" s="7">
        <v>6.2054510099999988E-2</v>
      </c>
      <c r="T198" s="7">
        <v>5.4890155799999993E-2</v>
      </c>
      <c r="U198" s="7">
        <v>6.9794187499999993E-2</v>
      </c>
      <c r="V198" s="7">
        <v>7.9763264700000003E-2</v>
      </c>
      <c r="W198" s="7">
        <v>3.2664911699999993E-2</v>
      </c>
      <c r="X198" s="7">
        <v>4.7405838999999998E-2</v>
      </c>
      <c r="Y198" s="8">
        <v>4.7405838999999998E-2</v>
      </c>
      <c r="Z198" s="8">
        <v>4.7405838999999998E-2</v>
      </c>
      <c r="AA198" s="8">
        <v>4.7405838999999998E-2</v>
      </c>
      <c r="AB198" s="7"/>
      <c r="AC198" s="9">
        <f t="shared" si="24"/>
        <v>4.7405838999999998E-2</v>
      </c>
      <c r="AD198" s="10" t="str">
        <f t="shared" si="21"/>
        <v>2023</v>
      </c>
      <c r="AE198" s="9">
        <f t="shared" si="22"/>
        <v>4.4457653540000003E-2</v>
      </c>
      <c r="AF198" s="9">
        <f t="shared" si="23"/>
        <v>0.10259416099999999</v>
      </c>
    </row>
    <row r="199" spans="1:32" x14ac:dyDescent="0.2">
      <c r="A199" s="6" t="s">
        <v>425</v>
      </c>
      <c r="B199" s="6" t="s">
        <v>426</v>
      </c>
      <c r="C199" s="6"/>
      <c r="D199" s="7">
        <v>5.8433704400000008E-2</v>
      </c>
      <c r="E199" s="7">
        <v>5.0203919399999998E-2</v>
      </c>
      <c r="F199" s="7">
        <v>6.1942324600000001E-2</v>
      </c>
      <c r="G199" s="7">
        <v>7.3693880999999989E-2</v>
      </c>
      <c r="H199" s="7">
        <v>7.3970117599999996E-2</v>
      </c>
      <c r="I199" s="7">
        <v>8.1465396900000014E-2</v>
      </c>
      <c r="J199" s="7">
        <v>6.9582824700000018E-2</v>
      </c>
      <c r="K199" s="7">
        <v>7.4269165999999998E-2</v>
      </c>
      <c r="L199" s="7">
        <v>8.5002632100000003E-2</v>
      </c>
      <c r="M199" s="7">
        <v>8.1727514299999998E-2</v>
      </c>
      <c r="N199" s="7">
        <v>9.4636888500000002E-2</v>
      </c>
      <c r="O199" s="7">
        <v>9.8545389200000014E-2</v>
      </c>
      <c r="P199" s="7">
        <v>9.5928983699999998E-2</v>
      </c>
      <c r="Q199" s="7">
        <v>0.10687643049999999</v>
      </c>
      <c r="R199" s="7">
        <v>9.718589779999999E-2</v>
      </c>
      <c r="S199" s="7">
        <v>9.9288206099999984E-2</v>
      </c>
      <c r="T199" s="7">
        <v>8.7594098999999995E-2</v>
      </c>
      <c r="U199" s="7">
        <v>0.1061223793</v>
      </c>
      <c r="V199" s="7">
        <v>0.1011343002</v>
      </c>
      <c r="W199" s="7">
        <v>0.12924019810000001</v>
      </c>
      <c r="X199" s="7">
        <v>0.1166641903</v>
      </c>
      <c r="Y199" s="7">
        <v>0.1384066105</v>
      </c>
      <c r="Z199" s="7">
        <v>0.13477678300000001</v>
      </c>
      <c r="AA199" s="7">
        <v>0.1443092155</v>
      </c>
      <c r="AB199" s="7"/>
      <c r="AC199" s="9">
        <f t="shared" si="24"/>
        <v>0.1443092155</v>
      </c>
      <c r="AD199" s="10" t="str">
        <f t="shared" si="21"/>
        <v>2023</v>
      </c>
      <c r="AE199" s="9">
        <f t="shared" si="22"/>
        <v>0.13267939947999999</v>
      </c>
      <c r="AF199" s="9">
        <f t="shared" si="23"/>
        <v>5.6907844999999901E-3</v>
      </c>
    </row>
  </sheetData>
  <autoFilter ref="A4:AF19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5"/>
  <sheetViews>
    <sheetView workbookViewId="0">
      <pane xSplit="5" ySplit="4" topLeftCell="F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4" width="7" customWidth="1"/>
    <col min="5" max="5" width="16" customWidth="1"/>
    <col min="6" max="26" width="11" customWidth="1"/>
  </cols>
  <sheetData>
    <row r="1" spans="1:26" ht="16" x14ac:dyDescent="0.2">
      <c r="A1" s="1" t="s">
        <v>427</v>
      </c>
    </row>
    <row r="2" spans="1:26" x14ac:dyDescent="0.2">
      <c r="A2" s="4" t="s">
        <v>428</v>
      </c>
    </row>
    <row r="4" spans="1:26" ht="58" customHeight="1" x14ac:dyDescent="0.2">
      <c r="A4" s="5" t="s">
        <v>3</v>
      </c>
      <c r="B4" s="5" t="s">
        <v>4</v>
      </c>
      <c r="C4" s="5" t="s">
        <v>5</v>
      </c>
      <c r="D4" s="5" t="s">
        <v>429</v>
      </c>
      <c r="E4" s="5" t="s">
        <v>430</v>
      </c>
      <c r="F4" s="5" t="s">
        <v>431</v>
      </c>
      <c r="G4" s="5" t="s">
        <v>432</v>
      </c>
      <c r="H4" s="5" t="s">
        <v>433</v>
      </c>
      <c r="I4" s="5" t="s">
        <v>434</v>
      </c>
      <c r="J4" s="5" t="s">
        <v>435</v>
      </c>
      <c r="K4" s="5" t="s">
        <v>436</v>
      </c>
      <c r="L4" s="5" t="s">
        <v>437</v>
      </c>
      <c r="M4" s="5" t="s">
        <v>438</v>
      </c>
      <c r="N4" s="5" t="s">
        <v>439</v>
      </c>
      <c r="O4" s="5" t="s">
        <v>440</v>
      </c>
      <c r="P4" s="5" t="s">
        <v>441</v>
      </c>
      <c r="Q4" s="5" t="s">
        <v>442</v>
      </c>
      <c r="R4" s="5" t="s">
        <v>443</v>
      </c>
      <c r="S4" s="5" t="s">
        <v>444</v>
      </c>
      <c r="T4" s="5" t="s">
        <v>445</v>
      </c>
      <c r="U4" s="5" t="s">
        <v>446</v>
      </c>
      <c r="V4" s="5" t="s">
        <v>447</v>
      </c>
      <c r="W4" s="5" t="s">
        <v>448</v>
      </c>
      <c r="X4" s="5" t="s">
        <v>449</v>
      </c>
      <c r="Y4" s="5" t="s">
        <v>450</v>
      </c>
      <c r="Z4" s="5" t="s">
        <v>451</v>
      </c>
    </row>
    <row r="5" spans="1:26" x14ac:dyDescent="0.2">
      <c r="A5" s="6" t="s">
        <v>35</v>
      </c>
      <c r="B5" s="6" t="s">
        <v>36</v>
      </c>
      <c r="C5" s="6"/>
      <c r="D5" s="6" t="s">
        <v>20</v>
      </c>
      <c r="E5" s="6" t="s">
        <v>452</v>
      </c>
      <c r="F5" s="7">
        <v>0.21134661554561751</v>
      </c>
      <c r="G5" s="7">
        <v>2.4892132561318812E-2</v>
      </c>
      <c r="H5" s="7">
        <v>0.1137218570046159</v>
      </c>
      <c r="I5" s="7">
        <v>8.6392823961839588E-2</v>
      </c>
      <c r="J5" s="7">
        <v>0.19236299120191161</v>
      </c>
      <c r="K5" s="7">
        <v>6.2704669435913376E-3</v>
      </c>
      <c r="L5" s="7">
        <v>9.3350512906358013E-2</v>
      </c>
      <c r="M5" s="12">
        <f t="shared" ref="M5:M68" si="0">SUM(S5:Y5)</f>
        <v>4.6716281497782036E-2</v>
      </c>
      <c r="N5" s="7">
        <v>1.2095066742749841E-2</v>
      </c>
      <c r="O5" s="7">
        <v>6.8522597471661756E-2</v>
      </c>
      <c r="P5" s="7">
        <v>0.14432865416255361</v>
      </c>
      <c r="Q5" s="7"/>
      <c r="R5" s="13">
        <f t="shared" ref="R5:R68" si="1">SUM(F5:Q5)</f>
        <v>1</v>
      </c>
      <c r="S5" s="7">
        <v>7.38463224336651E-4</v>
      </c>
      <c r="T5" s="7">
        <v>8.7491207439806501E-4</v>
      </c>
      <c r="U5" s="7">
        <v>3.4201646320278299E-2</v>
      </c>
      <c r="V5" s="7">
        <v>1.0901259878769019E-2</v>
      </c>
      <c r="W5" s="7">
        <v>0</v>
      </c>
      <c r="X5" s="7">
        <v>0</v>
      </c>
      <c r="Y5" s="7"/>
      <c r="Z5" s="14">
        <f>IFERROR(IF(INDEX('All GHED Countries'!$D$5:$AB$199,MATCH($B5,'All GHED Countries'!$B$5:$B$199,0),MATCH($D5,'All GHED Countries'!$D$4:$AB$4,0))="","",INDEX('All GHED Countries'!$D$5:$AB$199,MATCH($B5,'All GHED Countries'!$B$5:$B$199,0),MATCH($D5,'All GHED Countries'!$D$4:$AB$4,0))),"")</f>
        <v>3.6156802199999998E-2</v>
      </c>
    </row>
    <row r="6" spans="1:26" x14ac:dyDescent="0.2">
      <c r="A6" s="6" t="s">
        <v>35</v>
      </c>
      <c r="B6" s="6" t="s">
        <v>36</v>
      </c>
      <c r="C6" s="6"/>
      <c r="D6" s="6" t="s">
        <v>21</v>
      </c>
      <c r="E6" s="6" t="s">
        <v>452</v>
      </c>
      <c r="F6" s="7">
        <v>0.13209355037305009</v>
      </c>
      <c r="G6" s="7">
        <v>7.1528648880191642E-2</v>
      </c>
      <c r="H6" s="7">
        <v>0.2271245390871591</v>
      </c>
      <c r="I6" s="7">
        <v>4.583936990022279E-2</v>
      </c>
      <c r="J6" s="7">
        <v>0.1239656660706651</v>
      </c>
      <c r="K6" s="7">
        <v>6.1437894647827203E-3</v>
      </c>
      <c r="L6" s="7">
        <v>5.0239753334403038E-2</v>
      </c>
      <c r="M6" s="12">
        <f t="shared" si="0"/>
        <v>5.5617431725708703E-2</v>
      </c>
      <c r="N6" s="7">
        <v>9.8367567509536954E-3</v>
      </c>
      <c r="O6" s="7">
        <v>0.121008887668792</v>
      </c>
      <c r="P6" s="7">
        <v>0.1566016067440715</v>
      </c>
      <c r="Q6" s="7"/>
      <c r="R6" s="13">
        <f t="shared" si="1"/>
        <v>1.0000000000000002</v>
      </c>
      <c r="S6" s="7">
        <v>1.002423384567475E-3</v>
      </c>
      <c r="T6" s="7">
        <v>7.4248199063989707E-4</v>
      </c>
      <c r="U6" s="7">
        <v>3.7021308020565323E-2</v>
      </c>
      <c r="V6" s="7">
        <v>1.685121832993601E-2</v>
      </c>
      <c r="W6" s="7">
        <v>0</v>
      </c>
      <c r="X6" s="7">
        <v>0</v>
      </c>
      <c r="Y6" s="7"/>
      <c r="Z6" s="14">
        <f>IFERROR(IF(INDEX('All GHED Countries'!$D$5:$AB$199,MATCH($B6,'All GHED Countries'!$B$5:$B$199,0),MATCH($D6,'All GHED Countries'!$D$4:$AB$4,0))="","",INDEX('All GHED Countries'!$D$5:$AB$199,MATCH($B6,'All GHED Countries'!$B$5:$B$199,0),MATCH($D6,'All GHED Countries'!$D$4:$AB$4,0))),"")</f>
        <v>4.5626254100000013E-2</v>
      </c>
    </row>
    <row r="7" spans="1:26" x14ac:dyDescent="0.2">
      <c r="A7" s="6" t="s">
        <v>35</v>
      </c>
      <c r="B7" s="6" t="s">
        <v>36</v>
      </c>
      <c r="C7" s="6"/>
      <c r="D7" s="6" t="s">
        <v>22</v>
      </c>
      <c r="E7" s="6" t="s">
        <v>452</v>
      </c>
      <c r="F7" s="7">
        <v>0.14559430521735939</v>
      </c>
      <c r="G7" s="7">
        <v>0.1009472333795855</v>
      </c>
      <c r="H7" s="7">
        <v>0.14380665764853209</v>
      </c>
      <c r="I7" s="7">
        <v>0.13245053688094219</v>
      </c>
      <c r="J7" s="7">
        <v>0.16789041718068581</v>
      </c>
      <c r="K7" s="7">
        <v>5.3985518264982604E-4</v>
      </c>
      <c r="L7" s="7">
        <v>3.4355168721382008E-2</v>
      </c>
      <c r="M7" s="12">
        <f t="shared" si="0"/>
        <v>5.5828602947775488E-2</v>
      </c>
      <c r="N7" s="7">
        <v>5.0662721181278557E-3</v>
      </c>
      <c r="O7" s="7">
        <v>0.1082170107291497</v>
      </c>
      <c r="P7" s="7">
        <v>0.1053039399938103</v>
      </c>
      <c r="Q7" s="7"/>
      <c r="R7" s="13">
        <f t="shared" si="1"/>
        <v>1.0000000000000002</v>
      </c>
      <c r="S7" s="7">
        <v>8.5143784130021203E-4</v>
      </c>
      <c r="T7" s="7">
        <v>9.0584733823781405E-4</v>
      </c>
      <c r="U7" s="7">
        <v>3.4584981952131673E-2</v>
      </c>
      <c r="V7" s="7">
        <v>1.9486335816105791E-2</v>
      </c>
      <c r="W7" s="7">
        <v>0</v>
      </c>
      <c r="X7" s="7">
        <v>0</v>
      </c>
      <c r="Y7" s="7"/>
      <c r="Z7" s="14">
        <f>IFERROR(IF(INDEX('All GHED Countries'!$D$5:$AB$199,MATCH($B7,'All GHED Countries'!$B$5:$B$199,0),MATCH($D7,'All GHED Countries'!$D$4:$AB$4,0))="","",INDEX('All GHED Countries'!$D$5:$AB$199,MATCH($B7,'All GHED Countries'!$B$5:$B$199,0),MATCH($D7,'All GHED Countries'!$D$4:$AB$4,0))),"")</f>
        <v>5.4326968199999992E-2</v>
      </c>
    </row>
    <row r="8" spans="1:26" x14ac:dyDescent="0.2">
      <c r="A8" s="6" t="s">
        <v>35</v>
      </c>
      <c r="B8" s="6" t="s">
        <v>36</v>
      </c>
      <c r="C8" s="6"/>
      <c r="D8" s="6" t="s">
        <v>23</v>
      </c>
      <c r="E8" s="6" t="s">
        <v>452</v>
      </c>
      <c r="F8" s="7">
        <v>0.1459864851446791</v>
      </c>
      <c r="G8" s="7">
        <v>0.1169290836258307</v>
      </c>
      <c r="H8" s="7">
        <v>0.13153489374283761</v>
      </c>
      <c r="I8" s="7">
        <v>0.1075320126143135</v>
      </c>
      <c r="J8" s="7">
        <v>0.1978226766272525</v>
      </c>
      <c r="K8" s="7">
        <v>5.6338680439916092E-3</v>
      </c>
      <c r="L8" s="7">
        <v>6.374908889911611E-2</v>
      </c>
      <c r="M8" s="12">
        <f t="shared" si="0"/>
        <v>4.4905958437215544E-2</v>
      </c>
      <c r="N8" s="7">
        <v>7.8327547168238129E-3</v>
      </c>
      <c r="O8" s="7">
        <v>8.7602968572333587E-2</v>
      </c>
      <c r="P8" s="7">
        <v>9.0470209575605962E-2</v>
      </c>
      <c r="Q8" s="7"/>
      <c r="R8" s="13">
        <f t="shared" si="1"/>
        <v>1</v>
      </c>
      <c r="S8" s="7">
        <v>2.023304604329707E-3</v>
      </c>
      <c r="T8" s="7">
        <v>5.2756844166272002E-5</v>
      </c>
      <c r="U8" s="7">
        <v>2.9246366714497918E-2</v>
      </c>
      <c r="V8" s="7">
        <v>1.3583530274221651E-2</v>
      </c>
      <c r="W8" s="7">
        <v>0</v>
      </c>
      <c r="X8" s="7">
        <v>0</v>
      </c>
      <c r="Y8" s="7"/>
      <c r="Z8" s="14">
        <f>IFERROR(IF(INDEX('All GHED Countries'!$D$5:$AB$199,MATCH($B8,'All GHED Countries'!$B$5:$B$199,0),MATCH($D8,'All GHED Countries'!$D$4:$AB$4,0))="","",INDEX('All GHED Countries'!$D$5:$AB$199,MATCH($B8,'All GHED Countries'!$B$5:$B$199,0),MATCH($D8,'All GHED Countries'!$D$4:$AB$4,0))),"")</f>
        <v>5.3643193200000008E-2</v>
      </c>
    </row>
    <row r="9" spans="1:26" x14ac:dyDescent="0.2">
      <c r="A9" s="6" t="s">
        <v>35</v>
      </c>
      <c r="B9" s="6" t="s">
        <v>36</v>
      </c>
      <c r="C9" s="6"/>
      <c r="D9" s="6" t="s">
        <v>27</v>
      </c>
      <c r="E9" s="6" t="s">
        <v>452</v>
      </c>
      <c r="F9" s="7">
        <v>0.1072420442589592</v>
      </c>
      <c r="G9" s="7">
        <v>0.2382470763638681</v>
      </c>
      <c r="H9" s="7">
        <v>7.940384764724942E-2</v>
      </c>
      <c r="I9" s="7">
        <v>7.2294253854650589E-2</v>
      </c>
      <c r="J9" s="7">
        <v>0.24742179592238331</v>
      </c>
      <c r="K9" s="7">
        <v>3.6318822224075999E-4</v>
      </c>
      <c r="L9" s="7">
        <v>7.4011318262964351E-2</v>
      </c>
      <c r="M9" s="12">
        <f t="shared" si="0"/>
        <v>7.8667505257275255E-2</v>
      </c>
      <c r="N9" s="7">
        <v>5.2639513306535022E-3</v>
      </c>
      <c r="O9" s="7">
        <v>7.3520324681128291E-2</v>
      </c>
      <c r="P9" s="7">
        <v>2.3564694198631119E-2</v>
      </c>
      <c r="Q9" s="7"/>
      <c r="R9" s="13">
        <f t="shared" si="1"/>
        <v>1.000000000000004</v>
      </c>
      <c r="S9" s="7">
        <v>5.81431111698824E-4</v>
      </c>
      <c r="T9" s="7">
        <v>3.4666817192736003E-5</v>
      </c>
      <c r="U9" s="7">
        <v>4.0951098721891538E-2</v>
      </c>
      <c r="V9" s="7">
        <v>3.7100308606492167E-2</v>
      </c>
      <c r="W9" s="7">
        <v>0</v>
      </c>
      <c r="X9" s="7">
        <v>0</v>
      </c>
      <c r="Y9" s="7"/>
      <c r="Z9" s="14">
        <f>IFERROR(IF(INDEX('All GHED Countries'!$D$5:$AB$199,MATCH($B9,'All GHED Countries'!$B$5:$B$199,0),MATCH($D9,'All GHED Countries'!$D$4:$AB$4,0))="","",INDEX('All GHED Countries'!$D$5:$AB$199,MATCH($B9,'All GHED Countries'!$B$5:$B$199,0),MATCH($D9,'All GHED Countries'!$D$4:$AB$4,0))),"")</f>
        <v>8.7773656799999988E-2</v>
      </c>
    </row>
    <row r="10" spans="1:26" x14ac:dyDescent="0.2">
      <c r="A10" s="6" t="s">
        <v>37</v>
      </c>
      <c r="B10" s="6" t="s">
        <v>38</v>
      </c>
      <c r="C10" s="6"/>
      <c r="D10" s="6" t="s">
        <v>14</v>
      </c>
      <c r="E10" s="6" t="s">
        <v>453</v>
      </c>
      <c r="F10" s="7">
        <v>7.5420433395373576E-2</v>
      </c>
      <c r="G10" s="7">
        <v>2.7170300452007438E-3</v>
      </c>
      <c r="H10" s="7">
        <v>0.1099773996277586</v>
      </c>
      <c r="I10" s="7">
        <v>4.5840534432331832E-2</v>
      </c>
      <c r="J10" s="7">
        <v>0.41322121776123372</v>
      </c>
      <c r="K10" s="7">
        <v>8.1427811752193509E-4</v>
      </c>
      <c r="L10" s="7">
        <v>1.5895041212443499E-2</v>
      </c>
      <c r="M10" s="12">
        <f t="shared" si="0"/>
        <v>2.9771005051847911E-2</v>
      </c>
      <c r="N10" s="7">
        <v>1.218093592129753E-2</v>
      </c>
      <c r="O10" s="7">
        <v>8.5042209518745013E-2</v>
      </c>
      <c r="P10" s="7">
        <v>0.18692668173358151</v>
      </c>
      <c r="Q10" s="7">
        <v>2.2193233182664189E-2</v>
      </c>
      <c r="R10" s="13">
        <f t="shared" si="1"/>
        <v>1</v>
      </c>
      <c r="S10" s="7"/>
      <c r="T10" s="7">
        <v>4.9022866258973683E-3</v>
      </c>
      <c r="U10" s="7">
        <v>1.6941970220685991E-2</v>
      </c>
      <c r="V10" s="7">
        <v>0</v>
      </c>
      <c r="W10" s="7"/>
      <c r="X10" s="7"/>
      <c r="Y10" s="7">
        <v>7.926748205264551E-3</v>
      </c>
      <c r="Z10" s="14">
        <f>IFERROR(IF(INDEX('All GHED Countries'!$D$5:$AB$199,MATCH($B10,'All GHED Countries'!$B$5:$B$199,0),MATCH($D10,'All GHED Countries'!$D$4:$AB$4,0))="","",INDEX('All GHED Countries'!$D$5:$AB$199,MATCH($B10,'All GHED Countries'!$B$5:$B$199,0),MATCH($D10,'All GHED Countries'!$D$4:$AB$4,0))),"")</f>
        <v>2.75191212E-2</v>
      </c>
    </row>
    <row r="11" spans="1:26" x14ac:dyDescent="0.2">
      <c r="A11" s="6" t="s">
        <v>37</v>
      </c>
      <c r="B11" s="6" t="s">
        <v>38</v>
      </c>
      <c r="C11" s="6"/>
      <c r="D11" s="6" t="s">
        <v>15</v>
      </c>
      <c r="E11" s="6" t="s">
        <v>453</v>
      </c>
      <c r="F11" s="7">
        <v>5.836204877722391E-2</v>
      </c>
      <c r="G11" s="7">
        <v>6.5822488374427087E-3</v>
      </c>
      <c r="H11" s="7">
        <v>9.9252283295975352E-2</v>
      </c>
      <c r="I11" s="7">
        <v>5.6237663510755737E-2</v>
      </c>
      <c r="J11" s="7">
        <v>0.34660934729517251</v>
      </c>
      <c r="K11" s="7">
        <v>9.2000936736810399E-4</v>
      </c>
      <c r="L11" s="7">
        <v>1.8768191094309321E-2</v>
      </c>
      <c r="M11" s="12">
        <f t="shared" si="0"/>
        <v>3.4600715934562237E-2</v>
      </c>
      <c r="N11" s="7">
        <v>1.372486701682781E-2</v>
      </c>
      <c r="O11" s="7">
        <v>0.1004566591950754</v>
      </c>
      <c r="P11" s="7">
        <v>0.22933324412030379</v>
      </c>
      <c r="Q11" s="7">
        <v>3.5152721554983092E-2</v>
      </c>
      <c r="R11" s="13">
        <f t="shared" si="1"/>
        <v>1</v>
      </c>
      <c r="S11" s="7"/>
      <c r="T11" s="7">
        <v>5.3695092168211164E-3</v>
      </c>
      <c r="U11" s="7">
        <v>1.9796928841457291E-2</v>
      </c>
      <c r="V11" s="7">
        <v>7.025526078083701E-4</v>
      </c>
      <c r="W11" s="7"/>
      <c r="X11" s="7"/>
      <c r="Y11" s="7">
        <v>8.7317252684754581E-3</v>
      </c>
      <c r="Z11" s="14">
        <f>IFERROR(IF(INDEX('All GHED Countries'!$D$5:$AB$199,MATCH($B11,'All GHED Countries'!$B$5:$B$199,0),MATCH($D11,'All GHED Countries'!$D$4:$AB$4,0))="","",INDEX('All GHED Countries'!$D$5:$AB$199,MATCH($B11,'All GHED Countries'!$B$5:$B$199,0),MATCH($D11,'All GHED Countries'!$D$4:$AB$4,0))),"")</f>
        <v>3.2848393899999988E-2</v>
      </c>
    </row>
    <row r="12" spans="1:26" x14ac:dyDescent="0.2">
      <c r="A12" s="6" t="s">
        <v>37</v>
      </c>
      <c r="B12" s="6" t="s">
        <v>38</v>
      </c>
      <c r="C12" s="6"/>
      <c r="D12" s="6" t="s">
        <v>16</v>
      </c>
      <c r="E12" s="6" t="s">
        <v>453</v>
      </c>
      <c r="F12" s="7">
        <v>0.1002462319056857</v>
      </c>
      <c r="G12" s="7">
        <v>2.9473212953290552E-3</v>
      </c>
      <c r="H12" s="7">
        <v>8.8680793911356512E-2</v>
      </c>
      <c r="I12" s="7">
        <v>5.180570064169527E-2</v>
      </c>
      <c r="J12" s="7">
        <v>0.35646172213102523</v>
      </c>
      <c r="K12" s="7">
        <v>8.5061931055066401E-4</v>
      </c>
      <c r="L12" s="7">
        <v>1.6094612744366511E-2</v>
      </c>
      <c r="M12" s="12">
        <f t="shared" si="0"/>
        <v>3.2786151320698398E-2</v>
      </c>
      <c r="N12" s="7">
        <v>1.307267572004178E-2</v>
      </c>
      <c r="O12" s="7">
        <v>9.1866885539471727E-2</v>
      </c>
      <c r="P12" s="7">
        <v>0.21695269362781669</v>
      </c>
      <c r="Q12" s="7">
        <v>2.8234591851962421E-2</v>
      </c>
      <c r="R12" s="13">
        <f t="shared" si="1"/>
        <v>0.99999999999999989</v>
      </c>
      <c r="S12" s="7"/>
      <c r="T12" s="7">
        <v>5.8051037158633042E-3</v>
      </c>
      <c r="U12" s="7">
        <v>1.80793911356514E-2</v>
      </c>
      <c r="V12" s="7">
        <v>3.6561707207879399E-4</v>
      </c>
      <c r="W12" s="7"/>
      <c r="X12" s="7"/>
      <c r="Y12" s="7">
        <v>8.5360393971048998E-3</v>
      </c>
      <c r="Z12" s="14">
        <f>IFERROR(IF(INDEX('All GHED Countries'!$D$5:$AB$199,MATCH($B12,'All GHED Countries'!$B$5:$B$199,0),MATCH($D12,'All GHED Countries'!$D$4:$AB$4,0))="","",INDEX('All GHED Countries'!$D$5:$AB$199,MATCH($B12,'All GHED Countries'!$B$5:$B$199,0),MATCH($D12,'All GHED Countries'!$D$4:$AB$4,0))),"")</f>
        <v>3.1712610699999991E-2</v>
      </c>
    </row>
    <row r="13" spans="1:26" x14ac:dyDescent="0.2">
      <c r="A13" s="6" t="s">
        <v>37</v>
      </c>
      <c r="B13" s="6" t="s">
        <v>38</v>
      </c>
      <c r="C13" s="6"/>
      <c r="D13" s="6" t="s">
        <v>17</v>
      </c>
      <c r="E13" s="6" t="s">
        <v>453</v>
      </c>
      <c r="F13" s="7">
        <v>9.6102760842232085E-2</v>
      </c>
      <c r="G13" s="7">
        <v>9.9367353371635075E-3</v>
      </c>
      <c r="H13" s="7">
        <v>7.9025168766309772E-2</v>
      </c>
      <c r="I13" s="7">
        <v>4.3209565513903807E-2</v>
      </c>
      <c r="J13" s="7">
        <v>0.41962786457448392</v>
      </c>
      <c r="K13" s="7">
        <v>7.0892982063489594E-4</v>
      </c>
      <c r="L13" s="7">
        <v>1.9498499529528389E-2</v>
      </c>
      <c r="M13" s="12">
        <f t="shared" si="0"/>
        <v>2.969888645287843E-2</v>
      </c>
      <c r="N13" s="7">
        <v>1.1588951943932439E-2</v>
      </c>
      <c r="O13" s="7">
        <v>7.7765500076751912E-2</v>
      </c>
      <c r="P13" s="7">
        <v>0.21283713714218089</v>
      </c>
      <c r="Q13" s="7"/>
      <c r="R13" s="13">
        <f t="shared" si="1"/>
        <v>1</v>
      </c>
      <c r="S13" s="7"/>
      <c r="T13" s="7">
        <v>5.0445336823689733E-3</v>
      </c>
      <c r="U13" s="7">
        <v>1.612961815047826E-2</v>
      </c>
      <c r="V13" s="7">
        <v>2.8122835859896699E-4</v>
      </c>
      <c r="W13" s="7"/>
      <c r="X13" s="7"/>
      <c r="Y13" s="7">
        <v>8.2435062614322294E-3</v>
      </c>
      <c r="Z13" s="14">
        <f>IFERROR(IF(INDEX('All GHED Countries'!$D$5:$AB$199,MATCH($B13,'All GHED Countries'!$B$5:$B$199,0),MATCH($D13,'All GHED Countries'!$D$4:$AB$4,0))="","",INDEX('All GHED Countries'!$D$5:$AB$199,MATCH($B13,'All GHED Countries'!$B$5:$B$199,0),MATCH($D13,'All GHED Countries'!$D$4:$AB$4,0))),"")</f>
        <v>2.8160138099999999E-2</v>
      </c>
    </row>
    <row r="14" spans="1:26" x14ac:dyDescent="0.2">
      <c r="A14" s="6" t="s">
        <v>37</v>
      </c>
      <c r="B14" s="6" t="s">
        <v>38</v>
      </c>
      <c r="C14" s="6"/>
      <c r="D14" s="6" t="s">
        <v>18</v>
      </c>
      <c r="E14" s="6" t="s">
        <v>453</v>
      </c>
      <c r="F14" s="7">
        <v>0.13359158996478779</v>
      </c>
      <c r="G14" s="7">
        <v>4.6097786590756926E-3</v>
      </c>
      <c r="H14" s="7">
        <v>7.1783759473810632E-2</v>
      </c>
      <c r="I14" s="7">
        <v>4.9322587404367541E-2</v>
      </c>
      <c r="J14" s="7">
        <v>0.377480566869899</v>
      </c>
      <c r="K14" s="7">
        <v>6.4393803885092805E-4</v>
      </c>
      <c r="L14" s="7">
        <v>2.3631503901957882E-2</v>
      </c>
      <c r="M14" s="12">
        <f t="shared" si="0"/>
        <v>3.1834047968273278E-2</v>
      </c>
      <c r="N14" s="7">
        <v>1.27101103382719E-2</v>
      </c>
      <c r="O14" s="7">
        <v>7.7379887668586556E-2</v>
      </c>
      <c r="P14" s="7">
        <v>0.21701222971211881</v>
      </c>
      <c r="Q14" s="7"/>
      <c r="R14" s="13">
        <f t="shared" si="1"/>
        <v>1</v>
      </c>
      <c r="S14" s="7"/>
      <c r="T14" s="7">
        <v>4.8244246720260033E-3</v>
      </c>
      <c r="U14" s="7">
        <v>1.6589070429445341E-2</v>
      </c>
      <c r="V14" s="7">
        <v>2.5042034844202703E-4</v>
      </c>
      <c r="W14" s="7"/>
      <c r="X14" s="7"/>
      <c r="Y14" s="7">
        <v>1.0170132518359911E-2</v>
      </c>
      <c r="Z14" s="14">
        <f>IFERROR(IF(INDEX('All GHED Countries'!$D$5:$AB$199,MATCH($B14,'All GHED Countries'!$B$5:$B$199,0),MATCH($D14,'All GHED Countries'!$D$4:$AB$4,0))="","",INDEX('All GHED Countries'!$D$5:$AB$199,MATCH($B14,'All GHED Countries'!$B$5:$B$199,0),MATCH($D14,'All GHED Countries'!$D$4:$AB$4,0))),"")</f>
        <v>3.0453245600000001E-2</v>
      </c>
    </row>
    <row r="15" spans="1:26" x14ac:dyDescent="0.2">
      <c r="A15" s="6" t="s">
        <v>37</v>
      </c>
      <c r="B15" s="6" t="s">
        <v>38</v>
      </c>
      <c r="C15" s="6"/>
      <c r="D15" s="6" t="s">
        <v>19</v>
      </c>
      <c r="E15" s="6" t="s">
        <v>453</v>
      </c>
      <c r="F15" s="7">
        <v>9.4873075916541788E-2</v>
      </c>
      <c r="G15" s="7">
        <v>7.5036281017295927E-3</v>
      </c>
      <c r="H15" s="7">
        <v>7.0906192753312863E-2</v>
      </c>
      <c r="I15" s="7">
        <v>5.1692717626626701E-2</v>
      </c>
      <c r="J15" s="7">
        <v>0.43187495539219178</v>
      </c>
      <c r="K15" s="7">
        <v>6.7565960078985504E-4</v>
      </c>
      <c r="L15" s="7">
        <v>2.0545761663454901E-2</v>
      </c>
      <c r="M15" s="12">
        <f t="shared" si="0"/>
        <v>3.0095401232365045E-2</v>
      </c>
      <c r="N15" s="7">
        <v>1.347988485237789E-2</v>
      </c>
      <c r="O15" s="7">
        <v>7.1186924559274861E-2</v>
      </c>
      <c r="P15" s="7">
        <v>0.20716579830133469</v>
      </c>
      <c r="Q15" s="7"/>
      <c r="R15" s="13">
        <f t="shared" si="1"/>
        <v>1.0000000000000002</v>
      </c>
      <c r="S15" s="7"/>
      <c r="T15" s="7">
        <v>4.6344538814740797E-3</v>
      </c>
      <c r="U15" s="7">
        <v>1.5640092308424329E-2</v>
      </c>
      <c r="V15" s="7">
        <v>2.5694097494825401E-4</v>
      </c>
      <c r="W15" s="7"/>
      <c r="X15" s="7"/>
      <c r="Y15" s="7">
        <v>9.5639140675183847E-3</v>
      </c>
      <c r="Z15" s="14">
        <f>IFERROR(IF(INDEX('All GHED Countries'!$D$5:$AB$199,MATCH($B15,'All GHED Countries'!$B$5:$B$199,0),MATCH($D15,'All GHED Countries'!$D$4:$AB$4,0))="","",INDEX('All GHED Countries'!$D$5:$AB$199,MATCH($B15,'All GHED Countries'!$B$5:$B$199,0),MATCH($D15,'All GHED Countries'!$D$4:$AB$4,0))),"")</f>
        <v>2.8222861299999999E-2</v>
      </c>
    </row>
    <row r="16" spans="1:26" x14ac:dyDescent="0.2">
      <c r="A16" s="6" t="s">
        <v>37</v>
      </c>
      <c r="B16" s="6" t="s">
        <v>38</v>
      </c>
      <c r="C16" s="6"/>
      <c r="D16" s="6" t="s">
        <v>20</v>
      </c>
      <c r="E16" s="6" t="s">
        <v>453</v>
      </c>
      <c r="F16" s="7">
        <v>0.1614248777444991</v>
      </c>
      <c r="G16" s="7">
        <v>4.0093137978486843E-3</v>
      </c>
      <c r="H16" s="7">
        <v>7.2472394303155552E-2</v>
      </c>
      <c r="I16" s="7">
        <v>5.453047697501559E-2</v>
      </c>
      <c r="J16" s="7">
        <v>0.38445605230202229</v>
      </c>
      <c r="K16" s="7">
        <v>7.1424830127945593E-4</v>
      </c>
      <c r="L16" s="7">
        <v>2.148935055782792E-2</v>
      </c>
      <c r="M16" s="12">
        <f t="shared" si="0"/>
        <v>3.2603054125736268E-2</v>
      </c>
      <c r="N16" s="7">
        <v>1.4442100651870619E-2</v>
      </c>
      <c r="O16" s="7">
        <v>7.699596687792544E-2</v>
      </c>
      <c r="P16" s="7">
        <v>0.1768621643628191</v>
      </c>
      <c r="Q16" s="7"/>
      <c r="R16" s="13">
        <f t="shared" si="1"/>
        <v>1</v>
      </c>
      <c r="S16" s="7"/>
      <c r="T16" s="7">
        <v>5.0711629390841426E-3</v>
      </c>
      <c r="U16" s="7">
        <v>1.7337187099723352E-2</v>
      </c>
      <c r="V16" s="7">
        <v>3.1426925256296099E-4</v>
      </c>
      <c r="W16" s="7"/>
      <c r="X16" s="7"/>
      <c r="Y16" s="7">
        <v>9.8804348343658147E-3</v>
      </c>
      <c r="Z16" s="14">
        <f>IFERROR(IF(INDEX('All GHED Countries'!$D$5:$AB$199,MATCH($B16,'All GHED Countries'!$B$5:$B$199,0),MATCH($D16,'All GHED Countries'!$D$4:$AB$4,0))="","",INDEX('All GHED Countries'!$D$5:$AB$199,MATCH($B16,'All GHED Countries'!$B$5:$B$199,0),MATCH($D16,'All GHED Countries'!$D$4:$AB$4,0))),"")</f>
        <v>3.1070067900000008E-2</v>
      </c>
    </row>
    <row r="17" spans="1:26" x14ac:dyDescent="0.2">
      <c r="A17" s="6" t="s">
        <v>37</v>
      </c>
      <c r="B17" s="6" t="s">
        <v>38</v>
      </c>
      <c r="C17" s="6"/>
      <c r="D17" s="6" t="s">
        <v>21</v>
      </c>
      <c r="E17" s="6" t="s">
        <v>453</v>
      </c>
      <c r="F17" s="7">
        <v>0.15601278663539289</v>
      </c>
      <c r="G17" s="7">
        <v>1.046089288718664E-2</v>
      </c>
      <c r="H17" s="7">
        <v>8.4464040062151746E-2</v>
      </c>
      <c r="I17" s="7">
        <v>5.6852033292756551E-2</v>
      </c>
      <c r="J17" s="7">
        <v>0.35511613867363401</v>
      </c>
      <c r="K17" s="7">
        <v>2.17729085636808E-4</v>
      </c>
      <c r="L17" s="7">
        <v>2.070405668873648E-2</v>
      </c>
      <c r="M17" s="12">
        <f t="shared" si="0"/>
        <v>3.6029215284581813E-2</v>
      </c>
      <c r="N17" s="7">
        <v>1.390002276258623E-2</v>
      </c>
      <c r="O17" s="7">
        <v>8.2662826717338156E-2</v>
      </c>
      <c r="P17" s="7">
        <v>0.18358025790999871</v>
      </c>
      <c r="Q17" s="7"/>
      <c r="R17" s="13">
        <f t="shared" si="1"/>
        <v>1</v>
      </c>
      <c r="S17" s="7">
        <v>1.059944775986461E-2</v>
      </c>
      <c r="T17" s="7">
        <v>4.9582850865473116E-3</v>
      </c>
      <c r="U17" s="7">
        <v>1.471650683372426E-2</v>
      </c>
      <c r="V17" s="7">
        <v>2.6721296873608198E-4</v>
      </c>
      <c r="W17" s="7">
        <v>2.07832309016953E-4</v>
      </c>
      <c r="X17" s="7">
        <v>5.2799303266925952E-3</v>
      </c>
      <c r="Y17" s="7"/>
      <c r="Z17" s="14">
        <f>IFERROR(IF(INDEX('All GHED Countries'!$D$5:$AB$199,MATCH($B17,'All GHED Countries'!$B$5:$B$199,0),MATCH($D17,'All GHED Countries'!$D$4:$AB$4,0))="","",INDEX('All GHED Countries'!$D$5:$AB$199,MATCH($B17,'All GHED Countries'!$B$5:$B$199,0),MATCH($D17,'All GHED Countries'!$D$4:$AB$4,0))),"")</f>
        <v>3.3728263399999993E-2</v>
      </c>
    </row>
    <row r="18" spans="1:26" x14ac:dyDescent="0.2">
      <c r="A18" s="6" t="s">
        <v>37</v>
      </c>
      <c r="B18" s="6" t="s">
        <v>38</v>
      </c>
      <c r="C18" s="6"/>
      <c r="D18" s="6" t="s">
        <v>22</v>
      </c>
      <c r="E18" s="6" t="s">
        <v>453</v>
      </c>
      <c r="F18" s="7">
        <v>0.1189452704841199</v>
      </c>
      <c r="G18" s="7">
        <v>1.38029019313915E-2</v>
      </c>
      <c r="H18" s="7">
        <v>0.10522819493635439</v>
      </c>
      <c r="I18" s="7">
        <v>6.4591926594814497E-2</v>
      </c>
      <c r="J18" s="7">
        <v>0.2685260161730228</v>
      </c>
      <c r="K18" s="7">
        <v>1.201569370764878E-3</v>
      </c>
      <c r="L18" s="7">
        <v>2.40364360260991E-2</v>
      </c>
      <c r="M18" s="12">
        <f t="shared" si="0"/>
        <v>3.6805382465336621E-2</v>
      </c>
      <c r="N18" s="7">
        <v>3.5220118673655217E-2</v>
      </c>
      <c r="O18" s="7">
        <v>9.4459508096684311E-2</v>
      </c>
      <c r="P18" s="7">
        <v>0.2371826752477568</v>
      </c>
      <c r="Q18" s="7"/>
      <c r="R18" s="13">
        <f t="shared" si="1"/>
        <v>1</v>
      </c>
      <c r="S18" s="7">
        <v>0</v>
      </c>
      <c r="T18" s="7">
        <v>5.5686177140910108E-3</v>
      </c>
      <c r="U18" s="7">
        <v>1.8371894706778961E-2</v>
      </c>
      <c r="V18" s="7">
        <v>3.3320831290118401E-4</v>
      </c>
      <c r="W18" s="7">
        <v>2.2213887526745601E-4</v>
      </c>
      <c r="X18" s="7">
        <v>1.230952285629801E-2</v>
      </c>
      <c r="Y18" s="7"/>
      <c r="Z18" s="14">
        <f>IFERROR(IF(INDEX('All GHED Countries'!$D$5:$AB$199,MATCH($B18,'All GHED Countries'!$B$5:$B$199,0),MATCH($D18,'All GHED Countries'!$D$4:$AB$4,0))="","",INDEX('All GHED Countries'!$D$5:$AB$199,MATCH($B18,'All GHED Countries'!$B$5:$B$199,0),MATCH($D18,'All GHED Countries'!$D$4:$AB$4,0))),"")</f>
        <v>3.2898709799999988E-2</v>
      </c>
    </row>
    <row r="19" spans="1:26" x14ac:dyDescent="0.2">
      <c r="A19" s="6" t="s">
        <v>37</v>
      </c>
      <c r="B19" s="6" t="s">
        <v>38</v>
      </c>
      <c r="C19" s="6"/>
      <c r="D19" s="6" t="s">
        <v>23</v>
      </c>
      <c r="E19" s="6" t="s">
        <v>453</v>
      </c>
      <c r="F19" s="7">
        <v>9.8752308758296756E-2</v>
      </c>
      <c r="G19" s="7">
        <v>1.323961261521924E-2</v>
      </c>
      <c r="H19" s="7">
        <v>0.10668758395243449</v>
      </c>
      <c r="I19" s="7">
        <v>5.6720572583097678E-2</v>
      </c>
      <c r="J19" s="7">
        <v>0.39311161384083881</v>
      </c>
      <c r="K19" s="7">
        <v>6.4457126202382292E-4</v>
      </c>
      <c r="L19" s="7">
        <v>1.277677817806116E-2</v>
      </c>
      <c r="M19" s="12">
        <f t="shared" si="0"/>
        <v>3.1079120145790298E-2</v>
      </c>
      <c r="N19" s="7">
        <v>1.120356571047337E-2</v>
      </c>
      <c r="O19" s="7">
        <v>7.820628131722511E-2</v>
      </c>
      <c r="P19" s="7">
        <v>0.1975779916365393</v>
      </c>
      <c r="Q19" s="7"/>
      <c r="R19" s="13">
        <f t="shared" si="1"/>
        <v>0.99999999999999989</v>
      </c>
      <c r="S19" s="7">
        <v>0</v>
      </c>
      <c r="T19" s="7">
        <v>4.6100857653442991E-3</v>
      </c>
      <c r="U19" s="7">
        <v>1.452875513926688E-2</v>
      </c>
      <c r="V19" s="7">
        <v>2.9298693728355499E-4</v>
      </c>
      <c r="W19" s="7">
        <v>1.8258606236511401E-4</v>
      </c>
      <c r="X19" s="7">
        <v>1.146470624153045E-2</v>
      </c>
      <c r="Y19" s="7"/>
      <c r="Z19" s="14">
        <f>IFERROR(IF(INDEX('All GHED Countries'!$D$5:$AB$199,MATCH($B19,'All GHED Countries'!$B$5:$B$199,0),MATCH($D19,'All GHED Countries'!$D$4:$AB$4,0))="","",INDEX('All GHED Countries'!$D$5:$AB$199,MATCH($B19,'All GHED Countries'!$B$5:$B$199,0),MATCH($D19,'All GHED Countries'!$D$4:$AB$4,0))),"")</f>
        <v>2.823772669999999E-2</v>
      </c>
    </row>
    <row r="20" spans="1:26" x14ac:dyDescent="0.2">
      <c r="A20" s="6" t="s">
        <v>37</v>
      </c>
      <c r="B20" s="6" t="s">
        <v>38</v>
      </c>
      <c r="C20" s="6"/>
      <c r="D20" s="6" t="s">
        <v>24</v>
      </c>
      <c r="E20" s="6" t="s">
        <v>453</v>
      </c>
      <c r="F20" s="7">
        <v>0.13485170365264379</v>
      </c>
      <c r="G20" s="7">
        <v>2.547460900663177E-2</v>
      </c>
      <c r="H20" s="7">
        <v>0.1111120417783588</v>
      </c>
      <c r="I20" s="7">
        <v>6.2535337561469242E-2</v>
      </c>
      <c r="J20" s="7">
        <v>0.32182427578397449</v>
      </c>
      <c r="K20" s="7">
        <v>6.9504338956383497E-4</v>
      </c>
      <c r="L20" s="7">
        <v>1.831993261895774E-2</v>
      </c>
      <c r="M20" s="12">
        <f t="shared" si="0"/>
        <v>3.0326915484085434E-2</v>
      </c>
      <c r="N20" s="7">
        <v>1.290647505227473E-2</v>
      </c>
      <c r="O20" s="7">
        <v>8.4542362925539752E-2</v>
      </c>
      <c r="P20" s="7">
        <v>0.1974113027465004</v>
      </c>
      <c r="Q20" s="7"/>
      <c r="R20" s="13">
        <f t="shared" si="1"/>
        <v>0.99999999999999989</v>
      </c>
      <c r="S20" s="7">
        <v>0</v>
      </c>
      <c r="T20" s="7">
        <v>4.361299274378002E-3</v>
      </c>
      <c r="U20" s="7">
        <v>1.446201888050605E-2</v>
      </c>
      <c r="V20" s="7">
        <v>2.8470165556488297E-4</v>
      </c>
      <c r="W20" s="7">
        <v>1.8980110370992199E-4</v>
      </c>
      <c r="X20" s="7">
        <v>1.102909456992658E-2</v>
      </c>
      <c r="Y20" s="7"/>
      <c r="Z20" s="14">
        <f>IFERROR(IF(INDEX('All GHED Countries'!$D$5:$AB$199,MATCH($B20,'All GHED Countries'!$B$5:$B$199,0),MATCH($D20,'All GHED Countries'!$D$4:$AB$4,0))="","",INDEX('All GHED Countries'!$D$5:$AB$199,MATCH($B20,'All GHED Countries'!$B$5:$B$199,0),MATCH($D20,'All GHED Countries'!$D$4:$AB$4,0))),"")</f>
        <v>2.6780352600000001E-2</v>
      </c>
    </row>
    <row r="21" spans="1:26" x14ac:dyDescent="0.2">
      <c r="A21" s="6" t="s">
        <v>37</v>
      </c>
      <c r="B21" s="6" t="s">
        <v>38</v>
      </c>
      <c r="C21" s="6"/>
      <c r="D21" s="6" t="s">
        <v>25</v>
      </c>
      <c r="E21" s="6" t="s">
        <v>453</v>
      </c>
      <c r="F21" s="7">
        <v>0.16835750412940281</v>
      </c>
      <c r="G21" s="7">
        <v>1.5153080033140771E-2</v>
      </c>
      <c r="H21" s="7">
        <v>0.1132410025760236</v>
      </c>
      <c r="I21" s="7">
        <v>6.4604138977114325E-2</v>
      </c>
      <c r="J21" s="7">
        <v>0.29327994825336251</v>
      </c>
      <c r="K21" s="7">
        <v>5.3148862802807095E-4</v>
      </c>
      <c r="L21" s="7">
        <v>1.3008278406559401E-2</v>
      </c>
      <c r="M21" s="12">
        <f t="shared" si="0"/>
        <v>3.4094807016856105E-2</v>
      </c>
      <c r="N21" s="7">
        <v>1.321559666571929E-2</v>
      </c>
      <c r="O21" s="7">
        <v>8.5931533710325886E-2</v>
      </c>
      <c r="P21" s="7">
        <v>0.19858262160346729</v>
      </c>
      <c r="Q21" s="7"/>
      <c r="R21" s="13">
        <f t="shared" si="1"/>
        <v>1</v>
      </c>
      <c r="S21" s="7">
        <v>0</v>
      </c>
      <c r="T21" s="7">
        <v>4.4516884375968256E-3</v>
      </c>
      <c r="U21" s="7">
        <v>1.447835333514768E-2</v>
      </c>
      <c r="V21" s="7">
        <v>2.7516787124857599E-4</v>
      </c>
      <c r="W21" s="7">
        <v>2.9778440861147202E-4</v>
      </c>
      <c r="X21" s="7">
        <v>1.4591812964251549E-2</v>
      </c>
      <c r="Y21" s="7"/>
      <c r="Z21" s="14">
        <f>IFERROR(IF(INDEX('All GHED Countries'!$D$5:$AB$199,MATCH($B21,'All GHED Countries'!$B$5:$B$199,0),MATCH($D21,'All GHED Countries'!$D$4:$AB$4,0))="","",INDEX('All GHED Countries'!$D$5:$AB$199,MATCH($B21,'All GHED Countries'!$B$5:$B$199,0),MATCH($D21,'All GHED Countries'!$D$4:$AB$4,0))),"")</f>
        <v>3.2879271499999987E-2</v>
      </c>
    </row>
    <row r="22" spans="1:26" x14ac:dyDescent="0.2">
      <c r="A22" s="6" t="s">
        <v>37</v>
      </c>
      <c r="B22" s="6" t="s">
        <v>38</v>
      </c>
      <c r="C22" s="6"/>
      <c r="D22" s="6" t="s">
        <v>26</v>
      </c>
      <c r="E22" s="6" t="s">
        <v>453</v>
      </c>
      <c r="F22" s="7">
        <v>0.13964930251767479</v>
      </c>
      <c r="G22" s="7">
        <v>1.9984349442177168E-2</v>
      </c>
      <c r="H22" s="7">
        <v>0.1184830099065857</v>
      </c>
      <c r="I22" s="7">
        <v>7.351143088485429E-2</v>
      </c>
      <c r="J22" s="7">
        <v>0.22611455882273029</v>
      </c>
      <c r="K22" s="7">
        <v>8.1411430341432126E-3</v>
      </c>
      <c r="L22" s="7">
        <v>8.8747629320885327E-3</v>
      </c>
      <c r="M22" s="12">
        <f t="shared" si="0"/>
        <v>5.7623125872871821E-2</v>
      </c>
      <c r="N22" s="7">
        <v>1.217605247284248E-2</v>
      </c>
      <c r="O22" s="7">
        <v>9.8020109336535891E-2</v>
      </c>
      <c r="P22" s="7">
        <v>0.23742215477749579</v>
      </c>
      <c r="Q22" s="7"/>
      <c r="R22" s="13">
        <f t="shared" si="1"/>
        <v>1</v>
      </c>
      <c r="S22" s="7">
        <v>0</v>
      </c>
      <c r="T22" s="7">
        <v>2.0378330498481E-5</v>
      </c>
      <c r="U22" s="7">
        <v>5.2915731527722679E-3</v>
      </c>
      <c r="V22" s="7">
        <v>0</v>
      </c>
      <c r="W22" s="7">
        <v>5.7738603079028999E-5</v>
      </c>
      <c r="X22" s="7">
        <v>5.2253435786522043E-2</v>
      </c>
      <c r="Y22" s="7"/>
      <c r="Z22" s="14">
        <f>IFERROR(IF(INDEX('All GHED Countries'!$D$5:$AB$199,MATCH($B22,'All GHED Countries'!$B$5:$B$199,0),MATCH($D22,'All GHED Countries'!$D$4:$AB$4,0))="","",INDEX('All GHED Countries'!$D$5:$AB$199,MATCH($B22,'All GHED Countries'!$B$5:$B$199,0),MATCH($D22,'All GHED Countries'!$D$4:$AB$4,0))),"")</f>
        <v>5.7977180500000003E-2</v>
      </c>
    </row>
    <row r="23" spans="1:26" x14ac:dyDescent="0.2">
      <c r="A23" s="6" t="s">
        <v>37</v>
      </c>
      <c r="B23" s="6" t="s">
        <v>38</v>
      </c>
      <c r="C23" s="6"/>
      <c r="D23" s="6" t="s">
        <v>27</v>
      </c>
      <c r="E23" s="6" t="s">
        <v>453</v>
      </c>
      <c r="F23" s="7">
        <v>8.6603685700955418E-2</v>
      </c>
      <c r="G23" s="7">
        <v>2.105048804150467E-2</v>
      </c>
      <c r="H23" s="7">
        <v>0.1443226573059696</v>
      </c>
      <c r="I23" s="7">
        <v>7.9324482102071464E-2</v>
      </c>
      <c r="J23" s="7">
        <v>0.20621472502224791</v>
      </c>
      <c r="K23" s="7">
        <v>1.6048558396615339E-2</v>
      </c>
      <c r="L23" s="7">
        <v>7.7837694675682032E-3</v>
      </c>
      <c r="M23" s="12">
        <f t="shared" si="0"/>
        <v>4.672279944015658E-2</v>
      </c>
      <c r="N23" s="7">
        <v>1.308171108875227E-2</v>
      </c>
      <c r="O23" s="7">
        <v>0.10788627404205491</v>
      </c>
      <c r="P23" s="7">
        <v>0.27096084939210358</v>
      </c>
      <c r="Q23" s="7"/>
      <c r="R23" s="13">
        <f t="shared" si="1"/>
        <v>0.99999999999999978</v>
      </c>
      <c r="S23" s="7">
        <v>0</v>
      </c>
      <c r="T23" s="7">
        <v>4.7092814410525003E-5</v>
      </c>
      <c r="U23" s="7">
        <v>4.8505598842840756E-3</v>
      </c>
      <c r="V23" s="7">
        <v>0</v>
      </c>
      <c r="W23" s="7">
        <v>5.3820359326314007E-5</v>
      </c>
      <c r="X23" s="7">
        <v>4.1771326382135668E-2</v>
      </c>
      <c r="Y23" s="7"/>
      <c r="Z23" s="14">
        <f>IFERROR(IF(INDEX('All GHED Countries'!$D$5:$AB$199,MATCH($B23,'All GHED Countries'!$B$5:$B$199,0),MATCH($D23,'All GHED Countries'!$D$4:$AB$4,0))="","",INDEX('All GHED Countries'!$D$5:$AB$199,MATCH($B23,'All GHED Countries'!$B$5:$B$199,0),MATCH($D23,'All GHED Countries'!$D$4:$AB$4,0))),"")</f>
        <v>4.60517836E-2</v>
      </c>
    </row>
    <row r="24" spans="1:26" x14ac:dyDescent="0.2">
      <c r="A24" s="6" t="s">
        <v>37</v>
      </c>
      <c r="B24" s="6" t="s">
        <v>38</v>
      </c>
      <c r="C24" s="6"/>
      <c r="D24" s="6" t="s">
        <v>28</v>
      </c>
      <c r="E24" s="6" t="s">
        <v>453</v>
      </c>
      <c r="F24" s="7">
        <v>0.13037289062704679</v>
      </c>
      <c r="G24" s="7">
        <v>1.7090576805453551E-2</v>
      </c>
      <c r="H24" s="7">
        <v>0.13243229296895431</v>
      </c>
      <c r="I24" s="7">
        <v>6.6177994738216034E-2</v>
      </c>
      <c r="J24" s="7">
        <v>0.217798034785846</v>
      </c>
      <c r="K24" s="7">
        <v>7.5407987382024163E-3</v>
      </c>
      <c r="L24" s="7">
        <v>7.6011739104471458E-3</v>
      </c>
      <c r="M24" s="12">
        <f t="shared" si="0"/>
        <v>3.8529155282037375E-2</v>
      </c>
      <c r="N24" s="7">
        <v>1.1409853414611971E-2</v>
      </c>
      <c r="O24" s="7">
        <v>0.1036503615148926</v>
      </c>
      <c r="P24" s="7">
        <v>0.26739628068018351</v>
      </c>
      <c r="Q24" s="7"/>
      <c r="R24" s="13">
        <f t="shared" si="1"/>
        <v>0.99999941346589183</v>
      </c>
      <c r="S24" s="7">
        <v>0</v>
      </c>
      <c r="T24" s="7">
        <v>4.3760309739098012E-5</v>
      </c>
      <c r="U24" s="7">
        <v>4.3442175801089826E-3</v>
      </c>
      <c r="V24" s="7">
        <v>0</v>
      </c>
      <c r="W24" s="7">
        <v>5.3598946394455002E-5</v>
      </c>
      <c r="X24" s="7">
        <v>3.4087578445794839E-2</v>
      </c>
      <c r="Y24" s="7"/>
      <c r="Z24" s="14">
        <f>IFERROR(IF(INDEX('All GHED Countries'!$D$5:$AB$199,MATCH($B24,'All GHED Countries'!$B$5:$B$199,0),MATCH($D24,'All GHED Countries'!$D$4:$AB$4,0))="","",INDEX('All GHED Countries'!$D$5:$AB$199,MATCH($B24,'All GHED Countries'!$B$5:$B$199,0),MATCH($D24,'All GHED Countries'!$D$4:$AB$4,0))),"")</f>
        <v>3.6410746599999988E-2</v>
      </c>
    </row>
    <row r="25" spans="1:26" x14ac:dyDescent="0.2">
      <c r="A25" s="6" t="s">
        <v>37</v>
      </c>
      <c r="B25" s="6" t="s">
        <v>38</v>
      </c>
      <c r="C25" s="6"/>
      <c r="D25" s="6" t="s">
        <v>29</v>
      </c>
      <c r="E25" s="6" t="s">
        <v>453</v>
      </c>
      <c r="F25" s="7">
        <v>0.12159898472633419</v>
      </c>
      <c r="G25" s="7">
        <v>2.0629068031297139E-2</v>
      </c>
      <c r="H25" s="7">
        <v>0.119478507723578</v>
      </c>
      <c r="I25" s="7">
        <v>8.4753819307667497E-2</v>
      </c>
      <c r="J25" s="7">
        <v>0.24925484212696511</v>
      </c>
      <c r="K25" s="7">
        <v>8.3446131616018836E-3</v>
      </c>
      <c r="L25" s="7">
        <v>8.2014481671541621E-3</v>
      </c>
      <c r="M25" s="12">
        <f t="shared" si="0"/>
        <v>4.1143585054420638E-2</v>
      </c>
      <c r="N25" s="7">
        <v>1.1490084029818911E-2</v>
      </c>
      <c r="O25" s="7">
        <v>0.1015182405250334</v>
      </c>
      <c r="P25" s="7">
        <v>0.2335868071461292</v>
      </c>
      <c r="Q25" s="7"/>
      <c r="R25" s="13">
        <f t="shared" si="1"/>
        <v>1</v>
      </c>
      <c r="S25" s="7">
        <v>0</v>
      </c>
      <c r="T25" s="7">
        <v>4.5677808653472997E-5</v>
      </c>
      <c r="U25" s="7">
        <v>4.2441861501414354E-3</v>
      </c>
      <c r="V25" s="7">
        <v>0</v>
      </c>
      <c r="W25" s="7">
        <v>5.2047034834082001E-5</v>
      </c>
      <c r="X25" s="7">
        <v>3.6801674060791649E-2</v>
      </c>
      <c r="Y25" s="7"/>
      <c r="Z25" s="14">
        <f>IFERROR(IF(INDEX('All GHED Countries'!$D$5:$AB$199,MATCH($B25,'All GHED Countries'!$B$5:$B$199,0),MATCH($D25,'All GHED Countries'!$D$4:$AB$4,0))="","",INDEX('All GHED Countries'!$D$5:$AB$199,MATCH($B25,'All GHED Countries'!$B$5:$B$199,0),MATCH($D25,'All GHED Countries'!$D$4:$AB$4,0))),"")</f>
        <v>4.2580843E-2</v>
      </c>
    </row>
    <row r="26" spans="1:26" x14ac:dyDescent="0.2">
      <c r="A26" s="6" t="s">
        <v>37</v>
      </c>
      <c r="B26" s="6" t="s">
        <v>38</v>
      </c>
      <c r="C26" s="6"/>
      <c r="D26" s="6" t="s">
        <v>30</v>
      </c>
      <c r="E26" s="6" t="s">
        <v>453</v>
      </c>
      <c r="F26" s="7">
        <v>0.117721244419887</v>
      </c>
      <c r="G26" s="7">
        <v>1.000053794834614E-2</v>
      </c>
      <c r="H26" s="7">
        <v>0.1382345968112168</v>
      </c>
      <c r="I26" s="7">
        <v>7.3798963369837184E-2</v>
      </c>
      <c r="J26" s="7">
        <v>0.2444200024731544</v>
      </c>
      <c r="K26" s="7">
        <v>7.8692606749734412E-3</v>
      </c>
      <c r="L26" s="7">
        <v>7.5353542086885501E-3</v>
      </c>
      <c r="M26" s="12">
        <f t="shared" si="0"/>
        <v>4.1279279490380356E-2</v>
      </c>
      <c r="N26" s="7">
        <v>1.164540048437919E-2</v>
      </c>
      <c r="O26" s="7">
        <v>0.10360370820710341</v>
      </c>
      <c r="P26" s="7">
        <v>0.24389165191203349</v>
      </c>
      <c r="Q26" s="7"/>
      <c r="R26" s="13">
        <f t="shared" si="1"/>
        <v>1</v>
      </c>
      <c r="S26" s="7">
        <v>0</v>
      </c>
      <c r="T26" s="7">
        <v>4.5052119518236001E-5</v>
      </c>
      <c r="U26" s="7">
        <v>5.0066665098296211E-3</v>
      </c>
      <c r="V26" s="7">
        <v>0</v>
      </c>
      <c r="W26" s="7">
        <v>1.58165039424762E-4</v>
      </c>
      <c r="X26" s="7">
        <v>3.6069395821607737E-2</v>
      </c>
      <c r="Y26" s="7"/>
      <c r="Z26" s="14" t="str">
        <f>IFERROR(IF(INDEX('All GHED Countries'!$D$5:$AB$199,MATCH($B26,'All GHED Countries'!$B$5:$B$199,0),MATCH($D26,'All GHED Countries'!$D$4:$AB$4,0))="","",INDEX('All GHED Countries'!$D$5:$AB$199,MATCH($B26,'All GHED Countries'!$B$5:$B$199,0),MATCH($D26,'All GHED Countries'!$D$4:$AB$4,0))),"")</f>
        <v/>
      </c>
    </row>
    <row r="27" spans="1:26" x14ac:dyDescent="0.2">
      <c r="A27" s="6" t="s">
        <v>39</v>
      </c>
      <c r="B27" s="6" t="s">
        <v>40</v>
      </c>
      <c r="C27" s="6"/>
      <c r="D27" s="6" t="s">
        <v>11</v>
      </c>
      <c r="E27" s="6" t="s">
        <v>452</v>
      </c>
      <c r="F27" s="7">
        <v>0.23514122647207289</v>
      </c>
      <c r="G27" s="7">
        <v>0.153075545463776</v>
      </c>
      <c r="H27" s="7">
        <v>9.7311188849373592E-2</v>
      </c>
      <c r="I27" s="7">
        <v>6.4153529660611899E-2</v>
      </c>
      <c r="J27" s="7">
        <v>0.110075143350021</v>
      </c>
      <c r="K27" s="7">
        <v>9.7200426515628294E-4</v>
      </c>
      <c r="L27" s="7">
        <v>8.7211469880026607E-2</v>
      </c>
      <c r="M27" s="12">
        <f t="shared" si="0"/>
        <v>6.3720871090210698E-2</v>
      </c>
      <c r="N27" s="7">
        <v>1.30167692555892E-2</v>
      </c>
      <c r="O27" s="7">
        <v>0.150383685041686</v>
      </c>
      <c r="P27" s="7">
        <v>2.49385666714756E-2</v>
      </c>
      <c r="Q27" s="7"/>
      <c r="R27" s="13">
        <f t="shared" si="1"/>
        <v>1</v>
      </c>
      <c r="S27" s="7">
        <v>0</v>
      </c>
      <c r="T27" s="7">
        <v>4.0032637103856399E-2</v>
      </c>
      <c r="U27" s="7">
        <v>1.15923805037552E-2</v>
      </c>
      <c r="V27" s="7">
        <v>1.20958534825991E-2</v>
      </c>
      <c r="W27" s="7">
        <v>0</v>
      </c>
      <c r="X27" s="7">
        <v>0</v>
      </c>
      <c r="Y27" s="7"/>
      <c r="Z27" s="14">
        <f>IFERROR(IF(INDEX('All GHED Countries'!$D$5:$AB$199,MATCH($B27,'All GHED Countries'!$B$5:$B$199,0),MATCH($D27,'All GHED Countries'!$D$4:$AB$4,0))="","",INDEX('All GHED Countries'!$D$5:$AB$199,MATCH($B27,'All GHED Countries'!$B$5:$B$199,0),MATCH($D27,'All GHED Countries'!$D$4:$AB$4,0))),"")</f>
        <v>4.38883734E-2</v>
      </c>
    </row>
    <row r="28" spans="1:26" x14ac:dyDescent="0.2">
      <c r="A28" s="6" t="s">
        <v>39</v>
      </c>
      <c r="B28" s="6" t="s">
        <v>40</v>
      </c>
      <c r="C28" s="6"/>
      <c r="D28" s="6" t="s">
        <v>12</v>
      </c>
      <c r="E28" s="6" t="s">
        <v>452</v>
      </c>
      <c r="F28" s="7">
        <v>0.21769056240047799</v>
      </c>
      <c r="G28" s="7">
        <v>0.167932045834151</v>
      </c>
      <c r="H28" s="7">
        <v>9.7669031078497989E-2</v>
      </c>
      <c r="I28" s="7">
        <v>6.00842540401667E-2</v>
      </c>
      <c r="J28" s="7">
        <v>0.10023034581340801</v>
      </c>
      <c r="K28" s="7">
        <v>8.3298060509040095E-4</v>
      </c>
      <c r="L28" s="7">
        <v>8.3542803173938293E-2</v>
      </c>
      <c r="M28" s="12">
        <f t="shared" si="0"/>
        <v>7.3027851198248603E-2</v>
      </c>
      <c r="N28" s="7">
        <v>1.3274321437193801E-2</v>
      </c>
      <c r="O28" s="7">
        <v>0.15916919712250599</v>
      </c>
      <c r="P28" s="7">
        <v>2.6546607296321599E-2</v>
      </c>
      <c r="Q28" s="7"/>
      <c r="R28" s="13">
        <f t="shared" si="1"/>
        <v>1.0000000000000002</v>
      </c>
      <c r="S28" s="7">
        <v>0</v>
      </c>
      <c r="T28" s="7">
        <v>4.8020564079458997E-2</v>
      </c>
      <c r="U28" s="7">
        <v>1.2440245831488599E-2</v>
      </c>
      <c r="V28" s="7">
        <v>1.2567041287301E-2</v>
      </c>
      <c r="W28" s="7">
        <v>0</v>
      </c>
      <c r="X28" s="7">
        <v>0</v>
      </c>
      <c r="Y28" s="7"/>
      <c r="Z28" s="14">
        <f>IFERROR(IF(INDEX('All GHED Countries'!$D$5:$AB$199,MATCH($B28,'All GHED Countries'!$B$5:$B$199,0),MATCH($D28,'All GHED Countries'!$D$4:$AB$4,0))="","",INDEX('All GHED Countries'!$D$5:$AB$199,MATCH($B28,'All GHED Countries'!$B$5:$B$199,0),MATCH($D28,'All GHED Countries'!$D$4:$AB$4,0))),"")</f>
        <v>4.7282032999999987E-2</v>
      </c>
    </row>
    <row r="29" spans="1:26" x14ac:dyDescent="0.2">
      <c r="A29" s="6" t="s">
        <v>39</v>
      </c>
      <c r="B29" s="6" t="s">
        <v>40</v>
      </c>
      <c r="C29" s="6"/>
      <c r="D29" s="6" t="s">
        <v>13</v>
      </c>
      <c r="E29" s="6" t="s">
        <v>452</v>
      </c>
      <c r="F29" s="7">
        <v>0.18274778666274299</v>
      </c>
      <c r="G29" s="7">
        <v>0.18381458020425601</v>
      </c>
      <c r="H29" s="7">
        <v>0.10934395324202099</v>
      </c>
      <c r="I29" s="7">
        <v>7.0065940922081904E-2</v>
      </c>
      <c r="J29" s="7">
        <v>9.5899876453995295E-2</v>
      </c>
      <c r="K29" s="7">
        <v>8.6641128332861901E-4</v>
      </c>
      <c r="L29" s="7">
        <v>8.3987021845212201E-2</v>
      </c>
      <c r="M29" s="12">
        <f t="shared" si="0"/>
        <v>7.3528423536217108E-2</v>
      </c>
      <c r="N29" s="7">
        <v>1.15830114938839E-2</v>
      </c>
      <c r="O29" s="7">
        <v>0.165901982787656</v>
      </c>
      <c r="P29" s="7">
        <v>2.2261011568605198E-2</v>
      </c>
      <c r="Q29" s="7"/>
      <c r="R29" s="13">
        <f t="shared" si="1"/>
        <v>1.0000000000000004</v>
      </c>
      <c r="S29" s="7">
        <v>0</v>
      </c>
      <c r="T29" s="7">
        <v>4.6961868506536601E-2</v>
      </c>
      <c r="U29" s="7">
        <v>1.25206957670045E-2</v>
      </c>
      <c r="V29" s="7">
        <v>1.4045859262676E-2</v>
      </c>
      <c r="W29" s="7">
        <v>0</v>
      </c>
      <c r="X29" s="7">
        <v>0</v>
      </c>
      <c r="Y29" s="7"/>
      <c r="Z29" s="14">
        <f>IFERROR(IF(INDEX('All GHED Countries'!$D$5:$AB$199,MATCH($B29,'All GHED Countries'!$B$5:$B$199,0),MATCH($D29,'All GHED Countries'!$D$4:$AB$4,0))="","",INDEX('All GHED Countries'!$D$5:$AB$199,MATCH($B29,'All GHED Countries'!$B$5:$B$199,0),MATCH($D29,'All GHED Countries'!$D$4:$AB$4,0))),"")</f>
        <v>5.07518816E-2</v>
      </c>
    </row>
    <row r="30" spans="1:26" x14ac:dyDescent="0.2">
      <c r="A30" s="6" t="s">
        <v>39</v>
      </c>
      <c r="B30" s="6" t="s">
        <v>40</v>
      </c>
      <c r="C30" s="6"/>
      <c r="D30" s="6" t="s">
        <v>14</v>
      </c>
      <c r="E30" s="6" t="s">
        <v>452</v>
      </c>
      <c r="F30" s="7">
        <v>0.19731563460580401</v>
      </c>
      <c r="G30" s="7">
        <v>0.20123754319193499</v>
      </c>
      <c r="H30" s="7">
        <v>9.8327161334134203E-2</v>
      </c>
      <c r="I30" s="7">
        <v>6.6209344259758107E-2</v>
      </c>
      <c r="J30" s="7">
        <v>0.120419947494735</v>
      </c>
      <c r="K30" s="7">
        <v>7.7175366497393802E-4</v>
      </c>
      <c r="L30" s="7">
        <v>6.0820965717304498E-2</v>
      </c>
      <c r="M30" s="12">
        <f t="shared" si="0"/>
        <v>6.6473373090467899E-2</v>
      </c>
      <c r="N30" s="7">
        <v>1.0822871308442601E-2</v>
      </c>
      <c r="O30" s="7">
        <v>0.150493818902807</v>
      </c>
      <c r="P30" s="7">
        <v>2.7107586429637599E-2</v>
      </c>
      <c r="Q30" s="7"/>
      <c r="R30" s="13">
        <f t="shared" si="1"/>
        <v>1</v>
      </c>
      <c r="S30" s="7">
        <v>0</v>
      </c>
      <c r="T30" s="7">
        <v>4.3475785014653899E-2</v>
      </c>
      <c r="U30" s="7">
        <v>1.1109789762257899E-2</v>
      </c>
      <c r="V30" s="7">
        <v>1.1887798313556099E-2</v>
      </c>
      <c r="W30" s="7">
        <v>0</v>
      </c>
      <c r="X30" s="7">
        <v>0</v>
      </c>
      <c r="Y30" s="7"/>
      <c r="Z30" s="14">
        <f>IFERROR(IF(INDEX('All GHED Countries'!$D$5:$AB$199,MATCH($B30,'All GHED Countries'!$B$5:$B$199,0),MATCH($D30,'All GHED Countries'!$D$4:$AB$4,0))="","",INDEX('All GHED Countries'!$D$5:$AB$199,MATCH($B30,'All GHED Countries'!$B$5:$B$199,0),MATCH($D30,'All GHED Countries'!$D$4:$AB$4,0))),"")</f>
        <v>3.84091425E-2</v>
      </c>
    </row>
    <row r="31" spans="1:26" x14ac:dyDescent="0.2">
      <c r="A31" s="6" t="s">
        <v>39</v>
      </c>
      <c r="B31" s="6" t="s">
        <v>40</v>
      </c>
      <c r="C31" s="6"/>
      <c r="D31" s="6" t="s">
        <v>15</v>
      </c>
      <c r="E31" s="6" t="s">
        <v>452</v>
      </c>
      <c r="F31" s="7">
        <v>0.18884703911892001</v>
      </c>
      <c r="G31" s="7">
        <v>0.189619569977894</v>
      </c>
      <c r="H31" s="7">
        <v>7.7708425840155304E-2</v>
      </c>
      <c r="I31" s="7">
        <v>6.5882999294304995E-2</v>
      </c>
      <c r="J31" s="7">
        <v>0.16641440767011201</v>
      </c>
      <c r="K31" s="7">
        <v>6.7958934936524797E-4</v>
      </c>
      <c r="L31" s="7">
        <v>6.56768581718883E-2</v>
      </c>
      <c r="M31" s="12">
        <f t="shared" si="0"/>
        <v>6.3372630011683001E-2</v>
      </c>
      <c r="N31" s="7">
        <v>1.09015173892416E-2</v>
      </c>
      <c r="O31" s="7">
        <v>0.14114431659365201</v>
      </c>
      <c r="P31" s="7">
        <v>2.9752646582783902E-2</v>
      </c>
      <c r="Q31" s="7"/>
      <c r="R31" s="13">
        <f t="shared" si="1"/>
        <v>1.0000000000000004</v>
      </c>
      <c r="S31" s="7"/>
      <c r="T31" s="7">
        <v>1.15324792822854E-2</v>
      </c>
      <c r="U31" s="7">
        <v>1.15633188000682E-2</v>
      </c>
      <c r="V31" s="7">
        <v>1.09015173892416E-2</v>
      </c>
      <c r="W31" s="7"/>
      <c r="X31" s="7"/>
      <c r="Y31" s="7">
        <v>2.93753145400878E-2</v>
      </c>
      <c r="Z31" s="14">
        <f>IFERROR(IF(INDEX('All GHED Countries'!$D$5:$AB$199,MATCH($B31,'All GHED Countries'!$B$5:$B$199,0),MATCH($D31,'All GHED Countries'!$D$4:$AB$4,0))="","",INDEX('All GHED Countries'!$D$5:$AB$199,MATCH($B31,'All GHED Countries'!$B$5:$B$199,0),MATCH($D31,'All GHED Countries'!$D$4:$AB$4,0))),"")</f>
        <v>4.1153383300000013E-2</v>
      </c>
    </row>
    <row r="32" spans="1:26" x14ac:dyDescent="0.2">
      <c r="A32" s="6" t="s">
        <v>39</v>
      </c>
      <c r="B32" s="6" t="s">
        <v>40</v>
      </c>
      <c r="C32" s="6"/>
      <c r="D32" s="6" t="s">
        <v>16</v>
      </c>
      <c r="E32" s="6" t="s">
        <v>452</v>
      </c>
      <c r="F32" s="7">
        <v>0.19005536188024699</v>
      </c>
      <c r="G32" s="7">
        <v>0.169466145753356</v>
      </c>
      <c r="H32" s="7">
        <v>9.8844122678670293E-2</v>
      </c>
      <c r="I32" s="7">
        <v>7.0427015605829299E-2</v>
      </c>
      <c r="J32" s="7">
        <v>7.1647548307776296E-2</v>
      </c>
      <c r="K32" s="7">
        <v>7.2150064079013398E-3</v>
      </c>
      <c r="L32" s="7">
        <v>6.7342808388792197E-2</v>
      </c>
      <c r="M32" s="12">
        <f t="shared" si="0"/>
        <v>7.05055863819537E-2</v>
      </c>
      <c r="N32" s="7">
        <v>1.1203795543595799E-2</v>
      </c>
      <c r="O32" s="7">
        <v>0.16872003792864301</v>
      </c>
      <c r="P32" s="7">
        <v>7.4572571123234899E-2</v>
      </c>
      <c r="Q32" s="7"/>
      <c r="R32" s="13">
        <f t="shared" si="1"/>
        <v>0.99999999999999989</v>
      </c>
      <c r="S32" s="7">
        <v>0</v>
      </c>
      <c r="T32" s="7">
        <v>4.5315688266856398E-2</v>
      </c>
      <c r="U32" s="7">
        <v>1.22881104574535E-2</v>
      </c>
      <c r="V32" s="7">
        <v>1.29017876576438E-2</v>
      </c>
      <c r="W32" s="7">
        <v>0</v>
      </c>
      <c r="X32" s="7">
        <v>0</v>
      </c>
      <c r="Y32" s="7"/>
      <c r="Z32" s="14">
        <f>IFERROR(IF(INDEX('All GHED Countries'!$D$5:$AB$199,MATCH($B32,'All GHED Countries'!$B$5:$B$199,0),MATCH($D32,'All GHED Countries'!$D$4:$AB$4,0))="","",INDEX('All GHED Countries'!$D$5:$AB$199,MATCH($B32,'All GHED Countries'!$B$5:$B$199,0),MATCH($D32,'All GHED Countries'!$D$4:$AB$4,0))),"")</f>
        <v>4.4394164099999987E-2</v>
      </c>
    </row>
    <row r="33" spans="1:26" x14ac:dyDescent="0.2">
      <c r="A33" s="6" t="s">
        <v>39</v>
      </c>
      <c r="B33" s="6" t="s">
        <v>40</v>
      </c>
      <c r="C33" s="6"/>
      <c r="D33" s="6" t="s">
        <v>17</v>
      </c>
      <c r="E33" s="6" t="s">
        <v>452</v>
      </c>
      <c r="F33" s="7">
        <v>6.8594840968859996E-2</v>
      </c>
      <c r="G33" s="7">
        <v>0.14732618337078399</v>
      </c>
      <c r="H33" s="7">
        <v>0.10662413549486199</v>
      </c>
      <c r="I33" s="7">
        <v>7.75504880451965E-2</v>
      </c>
      <c r="J33" s="7">
        <v>0.26047006396215699</v>
      </c>
      <c r="K33" s="7">
        <v>6.8874979620480196E-3</v>
      </c>
      <c r="L33" s="7">
        <v>2.0904543510570198E-2</v>
      </c>
      <c r="M33" s="12">
        <f t="shared" si="0"/>
        <v>6.3785038006327691E-2</v>
      </c>
      <c r="N33" s="7">
        <v>9.6137460747272689E-3</v>
      </c>
      <c r="O33" s="7">
        <v>0.16821607725551099</v>
      </c>
      <c r="P33" s="7">
        <v>7.0027385348956403E-2</v>
      </c>
      <c r="Q33" s="7"/>
      <c r="R33" s="13">
        <f t="shared" si="1"/>
        <v>1.0000000000000002</v>
      </c>
      <c r="S33" s="7">
        <v>0</v>
      </c>
      <c r="T33" s="7">
        <v>3.5107119481875798E-3</v>
      </c>
      <c r="U33" s="7">
        <v>1.18058026695399E-2</v>
      </c>
      <c r="V33" s="7">
        <v>8.7221981999862988E-3</v>
      </c>
      <c r="W33" s="7">
        <v>2.5036683135681501E-4</v>
      </c>
      <c r="X33" s="7">
        <v>3.9495958357257097E-2</v>
      </c>
      <c r="Y33" s="7"/>
      <c r="Z33" s="14">
        <f>IFERROR(IF(INDEX('All GHED Countries'!$D$5:$AB$199,MATCH($B33,'All GHED Countries'!$B$5:$B$199,0),MATCH($D33,'All GHED Countries'!$D$4:$AB$4,0))="","",INDEX('All GHED Countries'!$D$5:$AB$199,MATCH($B33,'All GHED Countries'!$B$5:$B$199,0),MATCH($D33,'All GHED Countries'!$D$4:$AB$4,0))),"")</f>
        <v>4.1815910300000009E-2</v>
      </c>
    </row>
    <row r="34" spans="1:26" x14ac:dyDescent="0.2">
      <c r="A34" s="6" t="s">
        <v>39</v>
      </c>
      <c r="B34" s="6" t="s">
        <v>40</v>
      </c>
      <c r="C34" s="6"/>
      <c r="D34" s="6" t="s">
        <v>18</v>
      </c>
      <c r="E34" s="6" t="s">
        <v>452</v>
      </c>
      <c r="F34" s="7">
        <v>6.8725768365653972E-2</v>
      </c>
      <c r="G34" s="7">
        <v>0.16546542797904301</v>
      </c>
      <c r="H34" s="7">
        <v>0.108212992717882</v>
      </c>
      <c r="I34" s="7">
        <v>7.5014710917127095E-2</v>
      </c>
      <c r="J34" s="7">
        <v>0.261893298499491</v>
      </c>
      <c r="K34" s="7">
        <v>5.9220359305946404E-3</v>
      </c>
      <c r="L34" s="7">
        <v>1.9816137384841299E-2</v>
      </c>
      <c r="M34" s="12">
        <f t="shared" si="0"/>
        <v>5.9955884778601629E-2</v>
      </c>
      <c r="N34" s="7">
        <v>7.3244345703984103E-3</v>
      </c>
      <c r="O34" s="7">
        <v>0.16072246685834399</v>
      </c>
      <c r="P34" s="7">
        <v>6.6946841998023393E-2</v>
      </c>
      <c r="Q34" s="7"/>
      <c r="R34" s="13">
        <f t="shared" si="1"/>
        <v>1.0000000000000004</v>
      </c>
      <c r="S34" s="7">
        <v>0</v>
      </c>
      <c r="T34" s="7">
        <v>3.38149295282453E-3</v>
      </c>
      <c r="U34" s="7">
        <v>1.0799937152972601E-2</v>
      </c>
      <c r="V34" s="7">
        <v>7.7344731029317408E-3</v>
      </c>
      <c r="W34" s="7">
        <v>2.1916555487165999E-4</v>
      </c>
      <c r="X34" s="7">
        <v>3.7820816015001098E-2</v>
      </c>
      <c r="Y34" s="7"/>
      <c r="Z34" s="14">
        <f>IFERROR(IF(INDEX('All GHED Countries'!$D$5:$AB$199,MATCH($B34,'All GHED Countries'!$B$5:$B$199,0),MATCH($D34,'All GHED Countries'!$D$4:$AB$4,0))="","",INDEX('All GHED Countries'!$D$5:$AB$199,MATCH($B34,'All GHED Countries'!$B$5:$B$199,0),MATCH($D34,'All GHED Countries'!$D$4:$AB$4,0))),"")</f>
        <v>4.0162043600000003E-2</v>
      </c>
    </row>
    <row r="35" spans="1:26" x14ac:dyDescent="0.2">
      <c r="A35" s="6" t="s">
        <v>39</v>
      </c>
      <c r="B35" s="6" t="s">
        <v>40</v>
      </c>
      <c r="C35" s="6"/>
      <c r="D35" s="6" t="s">
        <v>19</v>
      </c>
      <c r="E35" s="6" t="s">
        <v>452</v>
      </c>
      <c r="F35" s="7">
        <v>6.8288581126350001E-2</v>
      </c>
      <c r="G35" s="7">
        <v>0.172779365529944</v>
      </c>
      <c r="H35" s="7">
        <v>9.3953750769545402E-2</v>
      </c>
      <c r="I35" s="7">
        <v>7.2688056870208004E-2</v>
      </c>
      <c r="J35" s="7">
        <v>0.296726902734469</v>
      </c>
      <c r="K35" s="7">
        <v>3.11393275764308E-3</v>
      </c>
      <c r="L35" s="7">
        <v>1.80435778980132E-2</v>
      </c>
      <c r="M35" s="12">
        <f t="shared" si="0"/>
        <v>5.8563815600838939E-2</v>
      </c>
      <c r="N35" s="7">
        <v>7.4624272372945501E-3</v>
      </c>
      <c r="O35" s="7">
        <v>0.144414262455552</v>
      </c>
      <c r="P35" s="7">
        <v>6.3965327020141502E-2</v>
      </c>
      <c r="Q35" s="7"/>
      <c r="R35" s="13">
        <f t="shared" si="1"/>
        <v>0.99999999999999967</v>
      </c>
      <c r="S35" s="7">
        <v>0</v>
      </c>
      <c r="T35" s="7">
        <v>3.16727360350305E-3</v>
      </c>
      <c r="U35" s="7">
        <v>1.02854164268355E-2</v>
      </c>
      <c r="V35" s="7">
        <v>7.0395616040293098E-3</v>
      </c>
      <c r="W35" s="7">
        <v>2.03567544454876E-4</v>
      </c>
      <c r="X35" s="7">
        <v>3.7867996422016201E-2</v>
      </c>
      <c r="Y35" s="7"/>
      <c r="Z35" s="14">
        <f>IFERROR(IF(INDEX('All GHED Countries'!$D$5:$AB$199,MATCH($B35,'All GHED Countries'!$B$5:$B$199,0),MATCH($D35,'All GHED Countries'!$D$4:$AB$4,0))="","",INDEX('All GHED Countries'!$D$5:$AB$199,MATCH($B35,'All GHED Countries'!$B$5:$B$199,0),MATCH($D35,'All GHED Countries'!$D$4:$AB$4,0))),"")</f>
        <v>3.6174552399999997E-2</v>
      </c>
    </row>
    <row r="36" spans="1:26" x14ac:dyDescent="0.2">
      <c r="A36" s="6" t="s">
        <v>39</v>
      </c>
      <c r="B36" s="6" t="s">
        <v>40</v>
      </c>
      <c r="C36" s="6"/>
      <c r="D36" s="6" t="s">
        <v>20</v>
      </c>
      <c r="E36" s="6" t="s">
        <v>452</v>
      </c>
      <c r="F36" s="7">
        <v>7.4482217858548014E-2</v>
      </c>
      <c r="G36" s="7">
        <v>0.17262271137011001</v>
      </c>
      <c r="H36" s="7">
        <v>0.10161379556493599</v>
      </c>
      <c r="I36" s="7">
        <v>8.0069891381100697E-2</v>
      </c>
      <c r="J36" s="7">
        <v>0.26091288450507799</v>
      </c>
      <c r="K36" s="7">
        <v>1.4367863033112099E-3</v>
      </c>
      <c r="L36" s="7">
        <v>1.96226617471058E-2</v>
      </c>
      <c r="M36" s="12">
        <f t="shared" si="0"/>
        <v>5.7443281060687128E-2</v>
      </c>
      <c r="N36" s="7">
        <v>7.7336680985420399E-3</v>
      </c>
      <c r="O36" s="7">
        <v>0.159456526395894</v>
      </c>
      <c r="P36" s="7">
        <v>6.4605575714686794E-2</v>
      </c>
      <c r="Q36" s="7"/>
      <c r="R36" s="13">
        <f t="shared" si="1"/>
        <v>0.99999999999999967</v>
      </c>
      <c r="S36" s="7">
        <v>0</v>
      </c>
      <c r="T36" s="7">
        <v>2.9973527206197102E-3</v>
      </c>
      <c r="U36" s="7">
        <v>1.02164826660067E-2</v>
      </c>
      <c r="V36" s="7">
        <v>7.6770793810870992E-3</v>
      </c>
      <c r="W36" s="7">
        <v>2.1945079971631701E-4</v>
      </c>
      <c r="X36" s="7">
        <v>3.6332915493257303E-2</v>
      </c>
      <c r="Y36" s="7"/>
      <c r="Z36" s="14">
        <f>IFERROR(IF(INDEX('All GHED Countries'!$D$5:$AB$199,MATCH($B36,'All GHED Countries'!$B$5:$B$199,0),MATCH($D36,'All GHED Countries'!$D$4:$AB$4,0))="","",INDEX('All GHED Countries'!$D$5:$AB$199,MATCH($B36,'All GHED Countries'!$B$5:$B$199,0),MATCH($D36,'All GHED Countries'!$D$4:$AB$4,0))),"")</f>
        <v>3.59245324E-2</v>
      </c>
    </row>
    <row r="37" spans="1:26" x14ac:dyDescent="0.2">
      <c r="A37" s="6" t="s">
        <v>39</v>
      </c>
      <c r="B37" s="6" t="s">
        <v>40</v>
      </c>
      <c r="C37" s="6"/>
      <c r="D37" s="6" t="s">
        <v>21</v>
      </c>
      <c r="E37" s="6" t="s">
        <v>452</v>
      </c>
      <c r="F37" s="7">
        <v>6.3095208236330969E-2</v>
      </c>
      <c r="G37" s="7">
        <v>0.18016723206252899</v>
      </c>
      <c r="H37" s="7">
        <v>0.102646227833484</v>
      </c>
      <c r="I37" s="7">
        <v>8.0566990870805794E-2</v>
      </c>
      <c r="J37" s="7">
        <v>0.26190895766292299</v>
      </c>
      <c r="K37" s="7">
        <v>1.3837276927204799E-3</v>
      </c>
      <c r="L37" s="7">
        <v>1.97068789059523E-2</v>
      </c>
      <c r="M37" s="12">
        <f t="shared" si="0"/>
        <v>5.7880929781249424E-2</v>
      </c>
      <c r="N37" s="7">
        <v>7.9155110493933992E-3</v>
      </c>
      <c r="O37" s="7">
        <v>0.16013409612061599</v>
      </c>
      <c r="P37" s="7">
        <v>6.4594239783995894E-2</v>
      </c>
      <c r="Q37" s="7"/>
      <c r="R37" s="13">
        <f t="shared" si="1"/>
        <v>1.0000000000000002</v>
      </c>
      <c r="S37" s="7">
        <v>0</v>
      </c>
      <c r="T37" s="7">
        <v>2.9739471803528002E-3</v>
      </c>
      <c r="U37" s="7">
        <v>1.02279748522542E-2</v>
      </c>
      <c r="V37" s="7">
        <v>7.1372289326949801E-3</v>
      </c>
      <c r="W37" s="7">
        <v>2.1818330217304301E-4</v>
      </c>
      <c r="X37" s="7">
        <v>3.7323595513774399E-2</v>
      </c>
      <c r="Y37" s="7"/>
      <c r="Z37" s="14">
        <f>IFERROR(IF(INDEX('All GHED Countries'!$D$5:$AB$199,MATCH($B37,'All GHED Countries'!$B$5:$B$199,0),MATCH($D37,'All GHED Countries'!$D$4:$AB$4,0))="","",INDEX('All GHED Countries'!$D$5:$AB$199,MATCH($B37,'All GHED Countries'!$B$5:$B$199,0),MATCH($D37,'All GHED Countries'!$D$4:$AB$4,0))),"")</f>
        <v>3.376888749999999E-2</v>
      </c>
    </row>
    <row r="38" spans="1:26" x14ac:dyDescent="0.2">
      <c r="A38" s="6" t="s">
        <v>39</v>
      </c>
      <c r="B38" s="6" t="s">
        <v>40</v>
      </c>
      <c r="C38" s="6"/>
      <c r="D38" s="6" t="s">
        <v>22</v>
      </c>
      <c r="E38" s="6" t="s">
        <v>452</v>
      </c>
      <c r="F38" s="7">
        <v>5.0183173474329018E-2</v>
      </c>
      <c r="G38" s="7">
        <v>0.16170133675061499</v>
      </c>
      <c r="H38" s="7">
        <v>0.100102224983003</v>
      </c>
      <c r="I38" s="7">
        <v>9.3616563381934997E-2</v>
      </c>
      <c r="J38" s="7">
        <v>0.19136614641161001</v>
      </c>
      <c r="K38" s="7">
        <v>1.38419474592934E-3</v>
      </c>
      <c r="L38" s="7">
        <v>8.0297968706438197E-2</v>
      </c>
      <c r="M38" s="12">
        <f t="shared" si="0"/>
        <v>6.0948589148500099E-2</v>
      </c>
      <c r="N38" s="7">
        <v>1.09366058370954E-2</v>
      </c>
      <c r="O38" s="7">
        <v>0.18625978840895899</v>
      </c>
      <c r="P38" s="7">
        <v>6.3203408151586399E-2</v>
      </c>
      <c r="Q38" s="7"/>
      <c r="R38" s="13">
        <f t="shared" si="1"/>
        <v>1.0000000000000004</v>
      </c>
      <c r="S38" s="7">
        <v>0</v>
      </c>
      <c r="T38" s="7">
        <v>3.6018410279235601E-2</v>
      </c>
      <c r="U38" s="7">
        <v>1.1210510097774001E-2</v>
      </c>
      <c r="V38" s="7">
        <v>1.3719668771490501E-2</v>
      </c>
      <c r="W38" s="7">
        <v>0</v>
      </c>
      <c r="X38" s="7">
        <v>0</v>
      </c>
      <c r="Y38" s="7"/>
      <c r="Z38" s="14">
        <f>IFERROR(IF(INDEX('All GHED Countries'!$D$5:$AB$199,MATCH($B38,'All GHED Countries'!$B$5:$B$199,0),MATCH($D38,'All GHED Countries'!$D$4:$AB$4,0))="","",INDEX('All GHED Countries'!$D$5:$AB$199,MATCH($B38,'All GHED Countries'!$B$5:$B$199,0),MATCH($D38,'All GHED Countries'!$D$4:$AB$4,0))),"")</f>
        <v>4.0993580799999998E-2</v>
      </c>
    </row>
    <row r="39" spans="1:26" x14ac:dyDescent="0.2">
      <c r="A39" s="6" t="s">
        <v>45</v>
      </c>
      <c r="B39" s="6" t="s">
        <v>46</v>
      </c>
      <c r="C39" s="6"/>
      <c r="D39" s="6" t="s">
        <v>11</v>
      </c>
      <c r="E39" s="6" t="s">
        <v>453</v>
      </c>
      <c r="F39" s="7">
        <v>0.1091566659063611</v>
      </c>
      <c r="G39" s="7">
        <v>7.8005190444870906E-2</v>
      </c>
      <c r="H39" s="7">
        <v>4.3162426630920597E-2</v>
      </c>
      <c r="I39" s="7">
        <v>5.6933574625006013E-2</v>
      </c>
      <c r="J39" s="7">
        <v>0.21142054942135599</v>
      </c>
      <c r="K39" s="7">
        <v>1.8018000694511298E-2</v>
      </c>
      <c r="L39" s="7">
        <v>3.6188368021059403E-2</v>
      </c>
      <c r="M39" s="12">
        <f t="shared" si="0"/>
        <v>0.10861557528927501</v>
      </c>
      <c r="N39" s="7">
        <v>1.20668414784065E-2</v>
      </c>
      <c r="O39" s="7">
        <v>0.18950741156554399</v>
      </c>
      <c r="P39" s="7">
        <v>0.13692539592268901</v>
      </c>
      <c r="Q39" s="7"/>
      <c r="R39" s="13">
        <f t="shared" si="1"/>
        <v>0.99999999999999989</v>
      </c>
      <c r="S39" s="7"/>
      <c r="T39" s="7">
        <v>3.45869311586669E-2</v>
      </c>
      <c r="U39" s="7">
        <v>1.7200228373171901E-2</v>
      </c>
      <c r="V39" s="7">
        <v>1.39397001336929E-2</v>
      </c>
      <c r="W39" s="7"/>
      <c r="X39" s="7"/>
      <c r="Y39" s="7">
        <v>4.2888715623743308E-2</v>
      </c>
      <c r="Z39" s="14">
        <f>IFERROR(IF(INDEX('All GHED Countries'!$D$5:$AB$199,MATCH($B39,'All GHED Countries'!$B$5:$B$199,0),MATCH($D39,'All GHED Countries'!$D$4:$AB$4,0))="","",INDEX('All GHED Countries'!$D$5:$AB$199,MATCH($B39,'All GHED Countries'!$B$5:$B$199,0),MATCH($D39,'All GHED Countries'!$D$4:$AB$4,0))),"")</f>
        <v>8.298798559999998E-2</v>
      </c>
    </row>
    <row r="40" spans="1:26" x14ac:dyDescent="0.2">
      <c r="A40" s="6" t="s">
        <v>45</v>
      </c>
      <c r="B40" s="6" t="s">
        <v>46</v>
      </c>
      <c r="C40" s="6"/>
      <c r="D40" s="6" t="s">
        <v>12</v>
      </c>
      <c r="E40" s="6" t="s">
        <v>453</v>
      </c>
      <c r="F40" s="7">
        <v>9.0965233572442086E-2</v>
      </c>
      <c r="G40" s="7">
        <v>9.4491109620578898E-2</v>
      </c>
      <c r="H40" s="7">
        <v>3.9484572210852102E-2</v>
      </c>
      <c r="I40" s="7">
        <v>5.0757992249302601E-2</v>
      </c>
      <c r="J40" s="7">
        <v>0.234433390404204</v>
      </c>
      <c r="K40" s="7">
        <v>1.7938391855334201E-2</v>
      </c>
      <c r="L40" s="7">
        <v>3.6595580819731299E-2</v>
      </c>
      <c r="M40" s="12">
        <f t="shared" si="0"/>
        <v>9.5695793445361915E-2</v>
      </c>
      <c r="N40" s="7">
        <v>1.52495294163151E-2</v>
      </c>
      <c r="O40" s="7">
        <v>0.19599040985977101</v>
      </c>
      <c r="P40" s="7">
        <v>0.12839799654610601</v>
      </c>
      <c r="Q40" s="7"/>
      <c r="R40" s="13">
        <f t="shared" si="1"/>
        <v>0.99999999999999933</v>
      </c>
      <c r="S40" s="7"/>
      <c r="T40" s="7">
        <v>3.2644138324961901E-2</v>
      </c>
      <c r="U40" s="7">
        <v>1.7583624584511199E-2</v>
      </c>
      <c r="V40" s="7">
        <v>9.6836633677530402E-3</v>
      </c>
      <c r="W40" s="7"/>
      <c r="X40" s="7"/>
      <c r="Y40" s="7">
        <v>3.5784367168135767E-2</v>
      </c>
      <c r="Z40" s="14">
        <f>IFERROR(IF(INDEX('All GHED Countries'!$D$5:$AB$199,MATCH($B40,'All GHED Countries'!$B$5:$B$199,0),MATCH($D40,'All GHED Countries'!$D$4:$AB$4,0))="","",INDEX('All GHED Countries'!$D$5:$AB$199,MATCH($B40,'All GHED Countries'!$B$5:$B$199,0),MATCH($D40,'All GHED Countries'!$D$4:$AB$4,0))),"")</f>
        <v>8.7520017599999986E-2</v>
      </c>
    </row>
    <row r="41" spans="1:26" x14ac:dyDescent="0.2">
      <c r="A41" s="6" t="s">
        <v>45</v>
      </c>
      <c r="B41" s="6" t="s">
        <v>46</v>
      </c>
      <c r="C41" s="6"/>
      <c r="D41" s="6" t="s">
        <v>13</v>
      </c>
      <c r="E41" s="6" t="s">
        <v>453</v>
      </c>
      <c r="F41" s="7">
        <v>8.8139541403089897E-2</v>
      </c>
      <c r="G41" s="7">
        <v>6.3925093242431105E-2</v>
      </c>
      <c r="H41" s="7">
        <v>4.3053077182310301E-2</v>
      </c>
      <c r="I41" s="7">
        <v>4.9999302566532712E-2</v>
      </c>
      <c r="J41" s="7">
        <v>0.24516532170751501</v>
      </c>
      <c r="K41" s="7">
        <v>1.74137617926527E-2</v>
      </c>
      <c r="L41" s="7">
        <v>4.73897443502172E-2</v>
      </c>
      <c r="M41" s="12">
        <f t="shared" si="0"/>
        <v>9.3964912202595591E-2</v>
      </c>
      <c r="N41" s="7">
        <v>2.1712827385209601E-2</v>
      </c>
      <c r="O41" s="7">
        <v>0.20374284306475901</v>
      </c>
      <c r="P41" s="7">
        <v>0.12549357510268699</v>
      </c>
      <c r="Q41" s="7"/>
      <c r="R41" s="13">
        <f t="shared" si="1"/>
        <v>1</v>
      </c>
      <c r="S41" s="7"/>
      <c r="T41" s="7">
        <v>3.6382462046820697E-2</v>
      </c>
      <c r="U41" s="7">
        <v>1.35841990478042E-2</v>
      </c>
      <c r="V41" s="7">
        <v>6.7695800545569994E-3</v>
      </c>
      <c r="W41" s="7"/>
      <c r="X41" s="7"/>
      <c r="Y41" s="7">
        <v>3.7228671053413688E-2</v>
      </c>
      <c r="Z41" s="14">
        <f>IFERROR(IF(INDEX('All GHED Countries'!$D$5:$AB$199,MATCH($B41,'All GHED Countries'!$B$5:$B$199,0),MATCH($D41,'All GHED Countries'!$D$4:$AB$4,0))="","",INDEX('All GHED Countries'!$D$5:$AB$199,MATCH($B41,'All GHED Countries'!$B$5:$B$199,0),MATCH($D41,'All GHED Countries'!$D$4:$AB$4,0))),"")</f>
        <v>8.5002489099999995E-2</v>
      </c>
    </row>
    <row r="42" spans="1:26" x14ac:dyDescent="0.2">
      <c r="A42" s="6" t="s">
        <v>47</v>
      </c>
      <c r="B42" s="6" t="s">
        <v>48</v>
      </c>
      <c r="C42" s="6" t="s">
        <v>49</v>
      </c>
      <c r="D42" s="6" t="s">
        <v>23</v>
      </c>
      <c r="E42" s="6" t="s">
        <v>452</v>
      </c>
      <c r="F42" s="7">
        <v>0.32558398018011347</v>
      </c>
      <c r="G42" s="7">
        <v>5.9225243483834511E-2</v>
      </c>
      <c r="H42" s="7">
        <v>7.4832088895502163E-2</v>
      </c>
      <c r="I42" s="7">
        <v>4.1465716400726563E-2</v>
      </c>
      <c r="J42" s="7">
        <v>0.13579095352773529</v>
      </c>
      <c r="K42" s="7">
        <v>6.7854279890910167E-3</v>
      </c>
      <c r="L42" s="7">
        <v>3.6857082180863171E-2</v>
      </c>
      <c r="M42" s="12">
        <f t="shared" si="0"/>
        <v>9.1974114180195771E-2</v>
      </c>
      <c r="N42" s="7">
        <v>1.205424370986931E-2</v>
      </c>
      <c r="O42" s="7">
        <v>0.16486111754028751</v>
      </c>
      <c r="P42" s="7">
        <v>5.057003191178118E-2</v>
      </c>
      <c r="Q42" s="7"/>
      <c r="R42" s="13">
        <f t="shared" si="1"/>
        <v>1</v>
      </c>
      <c r="S42" s="7">
        <v>0</v>
      </c>
      <c r="T42" s="7">
        <v>4.3755076273528136E-3</v>
      </c>
      <c r="U42" s="7">
        <v>7.122687898034967E-2</v>
      </c>
      <c r="V42" s="7">
        <v>2.9595988262694989E-3</v>
      </c>
      <c r="W42" s="7">
        <v>0</v>
      </c>
      <c r="X42" s="7">
        <v>1.341212874622378E-2</v>
      </c>
      <c r="Y42" s="7"/>
      <c r="Z42" s="14">
        <f>IFERROR(IF(INDEX('All GHED Countries'!$D$5:$AB$199,MATCH($B42,'All GHED Countries'!$B$5:$B$199,0),MATCH($D42,'All GHED Countries'!$D$4:$AB$4,0))="","",INDEX('All GHED Countries'!$D$5:$AB$199,MATCH($B42,'All GHED Countries'!$B$5:$B$199,0),MATCH($D42,'All GHED Countries'!$D$4:$AB$4,0))),"")</f>
        <v>0.14315474510000001</v>
      </c>
    </row>
    <row r="43" spans="1:26" x14ac:dyDescent="0.2">
      <c r="A43" s="6" t="s">
        <v>47</v>
      </c>
      <c r="B43" s="6" t="s">
        <v>48</v>
      </c>
      <c r="C43" s="6" t="s">
        <v>49</v>
      </c>
      <c r="D43" s="6" t="s">
        <v>24</v>
      </c>
      <c r="E43" s="6" t="s">
        <v>452</v>
      </c>
      <c r="F43" s="7">
        <v>0.18271606601506121</v>
      </c>
      <c r="G43" s="7">
        <v>1.7496217359185839E-2</v>
      </c>
      <c r="H43" s="7">
        <v>8.7402659348054607E-2</v>
      </c>
      <c r="I43" s="7">
        <v>6.7858988411021406E-2</v>
      </c>
      <c r="J43" s="7">
        <v>0.12239798096634801</v>
      </c>
      <c r="K43" s="7">
        <v>0</v>
      </c>
      <c r="L43" s="7">
        <v>0.10908375891049681</v>
      </c>
      <c r="M43" s="12">
        <f t="shared" si="0"/>
        <v>0.11930097888361016</v>
      </c>
      <c r="N43" s="7">
        <v>3.0680849685215641E-2</v>
      </c>
      <c r="O43" s="7">
        <v>0.22378061356887871</v>
      </c>
      <c r="P43" s="7">
        <v>3.928188685212753E-2</v>
      </c>
      <c r="Q43" s="7"/>
      <c r="R43" s="13">
        <f t="shared" si="1"/>
        <v>0.99999999999999989</v>
      </c>
      <c r="S43" s="7">
        <v>0</v>
      </c>
      <c r="T43" s="7">
        <v>0</v>
      </c>
      <c r="U43" s="7">
        <v>0.1049893329047891</v>
      </c>
      <c r="V43" s="7">
        <v>0</v>
      </c>
      <c r="W43" s="7">
        <v>0</v>
      </c>
      <c r="X43" s="7">
        <v>1.431164597882106E-2</v>
      </c>
      <c r="Y43" s="7"/>
      <c r="Z43" s="14">
        <f>IFERROR(IF(INDEX('All GHED Countries'!$D$5:$AB$199,MATCH($B43,'All GHED Countries'!$B$5:$B$199,0),MATCH($D43,'All GHED Countries'!$D$4:$AB$4,0))="","",INDEX('All GHED Countries'!$D$5:$AB$199,MATCH($B43,'All GHED Countries'!$B$5:$B$199,0),MATCH($D43,'All GHED Countries'!$D$4:$AB$4,0))),"")</f>
        <v>0.1154210281</v>
      </c>
    </row>
    <row r="44" spans="1:26" x14ac:dyDescent="0.2">
      <c r="A44" s="6" t="s">
        <v>47</v>
      </c>
      <c r="B44" s="6" t="s">
        <v>48</v>
      </c>
      <c r="C44" s="6" t="s">
        <v>49</v>
      </c>
      <c r="D44" s="6" t="s">
        <v>25</v>
      </c>
      <c r="E44" s="6" t="s">
        <v>452</v>
      </c>
      <c r="F44" s="7">
        <v>0.1906670521908749</v>
      </c>
      <c r="G44" s="7">
        <v>1.841219581673614E-2</v>
      </c>
      <c r="H44" s="7">
        <v>9.2127951427619481E-2</v>
      </c>
      <c r="I44" s="7">
        <v>7.2494962930501824E-2</v>
      </c>
      <c r="J44" s="7">
        <v>0.1424559859437588</v>
      </c>
      <c r="K44" s="7">
        <v>0</v>
      </c>
      <c r="L44" s="7">
        <v>6.4739015044771323E-2</v>
      </c>
      <c r="M44" s="12">
        <f t="shared" si="0"/>
        <v>0.12371168069543589</v>
      </c>
      <c r="N44" s="7">
        <v>3.2911708279478959E-2</v>
      </c>
      <c r="O44" s="7">
        <v>0.21959941058221141</v>
      </c>
      <c r="P44" s="7">
        <v>4.2880037088611288E-2</v>
      </c>
      <c r="Q44" s="7"/>
      <c r="R44" s="13">
        <f t="shared" si="1"/>
        <v>1.0000000000000002</v>
      </c>
      <c r="S44" s="7">
        <v>0</v>
      </c>
      <c r="T44" s="7">
        <v>0</v>
      </c>
      <c r="U44" s="7">
        <v>0.10707654556649961</v>
      </c>
      <c r="V44" s="7">
        <v>3.4105436793474258E-3</v>
      </c>
      <c r="W44" s="7">
        <v>0</v>
      </c>
      <c r="X44" s="7">
        <v>1.322459144958886E-2</v>
      </c>
      <c r="Y44" s="7"/>
      <c r="Z44" s="14">
        <f>IFERROR(IF(INDEX('All GHED Countries'!$D$5:$AB$199,MATCH($B44,'All GHED Countries'!$B$5:$B$199,0),MATCH($D44,'All GHED Countries'!$D$4:$AB$4,0))="","",INDEX('All GHED Countries'!$D$5:$AB$199,MATCH($B44,'All GHED Countries'!$B$5:$B$199,0),MATCH($D44,'All GHED Countries'!$D$4:$AB$4,0))),"")</f>
        <v>0.12006065370000001</v>
      </c>
    </row>
    <row r="45" spans="1:26" x14ac:dyDescent="0.2">
      <c r="A45" s="6" t="s">
        <v>47</v>
      </c>
      <c r="B45" s="6" t="s">
        <v>48</v>
      </c>
      <c r="C45" s="6" t="s">
        <v>49</v>
      </c>
      <c r="D45" s="6" t="s">
        <v>26</v>
      </c>
      <c r="E45" s="6" t="s">
        <v>452</v>
      </c>
      <c r="F45" s="7">
        <v>0.1873554283546322</v>
      </c>
      <c r="G45" s="7">
        <v>1.8055096597951209E-2</v>
      </c>
      <c r="H45" s="7">
        <v>9.2195859562317073E-2</v>
      </c>
      <c r="I45" s="7">
        <v>7.7073008053907946E-2</v>
      </c>
      <c r="J45" s="7">
        <v>0.11277568743066869</v>
      </c>
      <c r="K45" s="7">
        <v>0</v>
      </c>
      <c r="L45" s="7">
        <v>6.4971018030624494E-2</v>
      </c>
      <c r="M45" s="12">
        <f t="shared" si="0"/>
        <v>0.15685634020670264</v>
      </c>
      <c r="N45" s="7">
        <v>2.5094552022080229E-2</v>
      </c>
      <c r="O45" s="7">
        <v>0.229260343418173</v>
      </c>
      <c r="P45" s="7">
        <v>3.6362666322942473E-2</v>
      </c>
      <c r="Q45" s="7"/>
      <c r="R45" s="13">
        <f t="shared" si="1"/>
        <v>1</v>
      </c>
      <c r="S45" s="7">
        <v>0</v>
      </c>
      <c r="T45" s="7">
        <v>0</v>
      </c>
      <c r="U45" s="7">
        <v>0.13913458109676999</v>
      </c>
      <c r="V45" s="7">
        <v>3.3456869351464781E-3</v>
      </c>
      <c r="W45" s="7">
        <v>1.4376072174786189E-2</v>
      </c>
      <c r="X45" s="7">
        <v>0</v>
      </c>
      <c r="Y45" s="7"/>
      <c r="Z45" s="14">
        <f>IFERROR(IF(INDEX('All GHED Countries'!$D$5:$AB$199,MATCH($B45,'All GHED Countries'!$B$5:$B$199,0),MATCH($D45,'All GHED Countries'!$D$4:$AB$4,0))="","",INDEX('All GHED Countries'!$D$5:$AB$199,MATCH($B45,'All GHED Countries'!$B$5:$B$199,0),MATCH($D45,'All GHED Countries'!$D$4:$AB$4,0))),"")</f>
        <v>0.11661524769999999</v>
      </c>
    </row>
    <row r="46" spans="1:26" x14ac:dyDescent="0.2">
      <c r="A46" s="6" t="s">
        <v>47</v>
      </c>
      <c r="B46" s="6" t="s">
        <v>48</v>
      </c>
      <c r="C46" s="6" t="s">
        <v>49</v>
      </c>
      <c r="D46" s="6" t="s">
        <v>27</v>
      </c>
      <c r="E46" s="6" t="s">
        <v>452</v>
      </c>
      <c r="F46" s="7">
        <v>0.18465341487365611</v>
      </c>
      <c r="G46" s="7">
        <v>1.734684508233033E-2</v>
      </c>
      <c r="H46" s="7">
        <v>8.8095715078699288E-2</v>
      </c>
      <c r="I46" s="7">
        <v>7.7950724031082635E-2</v>
      </c>
      <c r="J46" s="7">
        <v>9.2032021092208649E-2</v>
      </c>
      <c r="K46" s="7">
        <v>8.4831508573479601E-3</v>
      </c>
      <c r="L46" s="7">
        <v>0.10781704345378949</v>
      </c>
      <c r="M46" s="12">
        <f t="shared" si="0"/>
        <v>0.14915257925825492</v>
      </c>
      <c r="N46" s="7">
        <v>1.8669579843155908E-2</v>
      </c>
      <c r="O46" s="7">
        <v>0.2426040733195127</v>
      </c>
      <c r="P46" s="7">
        <v>1.319485310996198E-2</v>
      </c>
      <c r="Q46" s="7"/>
      <c r="R46" s="13">
        <f t="shared" si="1"/>
        <v>0.99999999999999989</v>
      </c>
      <c r="S46" s="7">
        <v>0</v>
      </c>
      <c r="T46" s="7">
        <v>0</v>
      </c>
      <c r="U46" s="7">
        <v>0.13266579497939129</v>
      </c>
      <c r="V46" s="7">
        <v>3.0754999233845318E-3</v>
      </c>
      <c r="W46" s="7">
        <v>1.3411284355479079E-2</v>
      </c>
      <c r="X46" s="7">
        <v>0</v>
      </c>
      <c r="Y46" s="7"/>
      <c r="Z46" s="14">
        <f>IFERROR(IF(INDEX('All GHED Countries'!$D$5:$AB$199,MATCH($B46,'All GHED Countries'!$B$5:$B$199,0),MATCH($D46,'All GHED Countries'!$D$4:$AB$4,0))="","",INDEX('All GHED Countries'!$D$5:$AB$199,MATCH($B46,'All GHED Countries'!$B$5:$B$199,0),MATCH($D46,'All GHED Countries'!$D$4:$AB$4,0))),"")</f>
        <v>0.14610138889999999</v>
      </c>
    </row>
    <row r="47" spans="1:26" x14ac:dyDescent="0.2">
      <c r="A47" s="6" t="s">
        <v>47</v>
      </c>
      <c r="B47" s="6" t="s">
        <v>48</v>
      </c>
      <c r="C47" s="6" t="s">
        <v>49</v>
      </c>
      <c r="D47" s="6" t="s">
        <v>28</v>
      </c>
      <c r="E47" s="6" t="s">
        <v>452</v>
      </c>
      <c r="F47" s="7">
        <v>0.182352503658083</v>
      </c>
      <c r="G47" s="7">
        <v>2.245496473990247E-2</v>
      </c>
      <c r="H47" s="7">
        <v>8.9518870842731968E-2</v>
      </c>
      <c r="I47" s="7">
        <v>8.3084954417330797E-2</v>
      </c>
      <c r="J47" s="7">
        <v>9.8253921360772142E-2</v>
      </c>
      <c r="K47" s="7">
        <v>7.7635470719695267E-3</v>
      </c>
      <c r="L47" s="7">
        <v>0.1093732426429954</v>
      </c>
      <c r="M47" s="12">
        <f t="shared" si="0"/>
        <v>0.15113259812525415</v>
      </c>
      <c r="N47" s="7">
        <v>2.127381229602494E-2</v>
      </c>
      <c r="O47" s="7">
        <v>0.220146184297874</v>
      </c>
      <c r="P47" s="7">
        <v>1.464540054706154E-2</v>
      </c>
      <c r="Q47" s="7"/>
      <c r="R47" s="13">
        <f t="shared" si="1"/>
        <v>1</v>
      </c>
      <c r="S47" s="7">
        <v>0</v>
      </c>
      <c r="T47" s="7">
        <v>0</v>
      </c>
      <c r="U47" s="7">
        <v>1.672465148287044E-3</v>
      </c>
      <c r="V47" s="7">
        <v>0.1327022546303859</v>
      </c>
      <c r="W47" s="7">
        <v>1.6757878346581209E-2</v>
      </c>
      <c r="X47" s="7">
        <v>0</v>
      </c>
      <c r="Y47" s="7"/>
      <c r="Z47" s="14">
        <f>IFERROR(IF(INDEX('All GHED Countries'!$D$5:$AB$199,MATCH($B47,'All GHED Countries'!$B$5:$B$199,0),MATCH($D47,'All GHED Countries'!$D$4:$AB$4,0))="","",INDEX('All GHED Countries'!$D$5:$AB$199,MATCH($B47,'All GHED Countries'!$B$5:$B$199,0),MATCH($D47,'All GHED Countries'!$D$4:$AB$4,0))),"")</f>
        <v>0.14610138889999999</v>
      </c>
    </row>
    <row r="48" spans="1:26" x14ac:dyDescent="0.2">
      <c r="A48" s="6" t="s">
        <v>47</v>
      </c>
      <c r="B48" s="6" t="s">
        <v>48</v>
      </c>
      <c r="C48" s="6" t="s">
        <v>49</v>
      </c>
      <c r="D48" s="6" t="s">
        <v>29</v>
      </c>
      <c r="E48" s="6" t="s">
        <v>452</v>
      </c>
      <c r="F48" s="7">
        <v>0.17297962521253171</v>
      </c>
      <c r="G48" s="7">
        <v>2.984583748547702E-2</v>
      </c>
      <c r="H48" s="7">
        <v>7.7127219572158887E-2</v>
      </c>
      <c r="I48" s="7">
        <v>7.9214752682317077E-2</v>
      </c>
      <c r="J48" s="7">
        <v>8.8288557014428989E-2</v>
      </c>
      <c r="K48" s="7">
        <v>8.5160423120589981E-3</v>
      </c>
      <c r="L48" s="7">
        <v>0.1688198015952439</v>
      </c>
      <c r="M48" s="12">
        <f t="shared" si="0"/>
        <v>0.12171136442754001</v>
      </c>
      <c r="N48" s="7">
        <v>1.588947565093829E-2</v>
      </c>
      <c r="O48" s="7">
        <v>0.200149565110948</v>
      </c>
      <c r="P48" s="7">
        <v>3.745775893635709E-2</v>
      </c>
      <c r="Q48" s="7"/>
      <c r="R48" s="13">
        <f t="shared" si="1"/>
        <v>0.99999999999999989</v>
      </c>
      <c r="S48" s="7">
        <v>0</v>
      </c>
      <c r="T48" s="7">
        <v>0</v>
      </c>
      <c r="U48" s="7">
        <v>0</v>
      </c>
      <c r="V48" s="7">
        <v>0.1076221574450677</v>
      </c>
      <c r="W48" s="7">
        <v>1.40892069824723E-2</v>
      </c>
      <c r="X48" s="7">
        <v>0</v>
      </c>
      <c r="Y48" s="7"/>
      <c r="Z48" s="14">
        <f>IFERROR(IF(INDEX('All GHED Countries'!$D$5:$AB$199,MATCH($B48,'All GHED Countries'!$B$5:$B$199,0),MATCH($D48,'All GHED Countries'!$D$4:$AB$4,0))="","",INDEX('All GHED Countries'!$D$5:$AB$199,MATCH($B48,'All GHED Countries'!$B$5:$B$199,0),MATCH($D48,'All GHED Countries'!$D$4:$AB$4,0))),"")</f>
        <v>0.14610138889999999</v>
      </c>
    </row>
    <row r="49" spans="1:26" x14ac:dyDescent="0.2">
      <c r="A49" s="6" t="s">
        <v>50</v>
      </c>
      <c r="B49" s="6" t="s">
        <v>51</v>
      </c>
      <c r="C49" s="6"/>
      <c r="D49" s="6" t="s">
        <v>23</v>
      </c>
      <c r="E49" s="6" t="s">
        <v>452</v>
      </c>
      <c r="F49" s="7">
        <v>0.5876874861238347</v>
      </c>
      <c r="G49" s="7">
        <v>3.3313737774053782E-2</v>
      </c>
      <c r="H49" s="7">
        <v>9.0089589785923348E-3</v>
      </c>
      <c r="I49" s="7">
        <v>7.5093015893234914E-3</v>
      </c>
      <c r="J49" s="7">
        <v>0.2093518999278273</v>
      </c>
      <c r="K49" s="7">
        <v>2.664750226430397E-3</v>
      </c>
      <c r="L49" s="7">
        <v>2.6974788570956341E-2</v>
      </c>
      <c r="M49" s="12">
        <f t="shared" si="0"/>
        <v>4.6390077578044787E-2</v>
      </c>
      <c r="N49" s="7">
        <v>2.3102656207866518E-3</v>
      </c>
      <c r="O49" s="7">
        <v>7.1421452117518783E-2</v>
      </c>
      <c r="P49" s="7">
        <v>3.36728149263217E-3</v>
      </c>
      <c r="Q49" s="7"/>
      <c r="R49" s="13">
        <f t="shared" si="1"/>
        <v>1.0000000000000009</v>
      </c>
      <c r="S49" s="7">
        <v>1.3681861859609799E-4</v>
      </c>
      <c r="T49" s="7">
        <v>2.7894338147416039E-2</v>
      </c>
      <c r="U49" s="7">
        <v>1.447005394450708E-2</v>
      </c>
      <c r="V49" s="7">
        <v>4.1885289274777002E-4</v>
      </c>
      <c r="W49" s="7">
        <v>0</v>
      </c>
      <c r="X49" s="7">
        <v>3.4700139747778041E-3</v>
      </c>
      <c r="Y49" s="7"/>
      <c r="Z49" s="14">
        <f>IFERROR(IF(INDEX('All GHED Countries'!$D$5:$AB$199,MATCH($B49,'All GHED Countries'!$B$5:$B$199,0),MATCH($D49,'All GHED Countries'!$D$4:$AB$4,0))="","",INDEX('All GHED Countries'!$D$5:$AB$199,MATCH($B49,'All GHED Countries'!$B$5:$B$199,0),MATCH($D49,'All GHED Countries'!$D$4:$AB$4,0))),"")</f>
        <v>0.102352047</v>
      </c>
    </row>
    <row r="50" spans="1:26" x14ac:dyDescent="0.2">
      <c r="A50" s="6" t="s">
        <v>50</v>
      </c>
      <c r="B50" s="6" t="s">
        <v>51</v>
      </c>
      <c r="C50" s="6"/>
      <c r="D50" s="6" t="s">
        <v>24</v>
      </c>
      <c r="E50" s="6" t="s">
        <v>452</v>
      </c>
      <c r="F50" s="7">
        <v>0.50428413203973299</v>
      </c>
      <c r="G50" s="7">
        <v>4.6831102650566711E-2</v>
      </c>
      <c r="H50" s="7">
        <v>6.8525515099573123E-2</v>
      </c>
      <c r="I50" s="7">
        <v>1.6354369577465961E-2</v>
      </c>
      <c r="J50" s="7">
        <v>0.15800811939473439</v>
      </c>
      <c r="K50" s="7">
        <v>2.8167421337612292E-3</v>
      </c>
      <c r="L50" s="7">
        <v>1.588601123964509E-2</v>
      </c>
      <c r="M50" s="12">
        <f t="shared" si="0"/>
        <v>6.2815965882917574E-2</v>
      </c>
      <c r="N50" s="7">
        <v>9.3795874932628438E-3</v>
      </c>
      <c r="O50" s="7">
        <v>0.1100965199104614</v>
      </c>
      <c r="P50" s="7">
        <v>5.0019345778786924E-3</v>
      </c>
      <c r="Q50" s="7"/>
      <c r="R50" s="13">
        <f t="shared" si="1"/>
        <v>1</v>
      </c>
      <c r="S50" s="7">
        <v>8.4280181496504437E-3</v>
      </c>
      <c r="T50" s="7">
        <v>0</v>
      </c>
      <c r="U50" s="7">
        <v>3.772089887942396E-2</v>
      </c>
      <c r="V50" s="7">
        <v>1.033899631158787E-2</v>
      </c>
      <c r="W50" s="7">
        <v>4.9735035423887502E-4</v>
      </c>
      <c r="X50" s="7">
        <v>5.830702188016422E-3</v>
      </c>
      <c r="Y50" s="7"/>
      <c r="Z50" s="14">
        <f>IFERROR(IF(INDEX('All GHED Countries'!$D$5:$AB$199,MATCH($B50,'All GHED Countries'!$B$5:$B$199,0),MATCH($D50,'All GHED Countries'!$D$4:$AB$4,0))="","",INDEX('All GHED Countries'!$D$5:$AB$199,MATCH($B50,'All GHED Countries'!$B$5:$B$199,0),MATCH($D50,'All GHED Countries'!$D$4:$AB$4,0))),"")</f>
        <v>8.7850236900000003E-2</v>
      </c>
    </row>
    <row r="51" spans="1:26" x14ac:dyDescent="0.2">
      <c r="A51" s="6" t="s">
        <v>50</v>
      </c>
      <c r="B51" s="6" t="s">
        <v>51</v>
      </c>
      <c r="C51" s="6"/>
      <c r="D51" s="6" t="s">
        <v>25</v>
      </c>
      <c r="E51" s="6" t="s">
        <v>452</v>
      </c>
      <c r="F51" s="7">
        <v>0.59989836314175682</v>
      </c>
      <c r="G51" s="7">
        <v>5.3085780164104132E-2</v>
      </c>
      <c r="H51" s="7">
        <v>5.2835988952474003E-2</v>
      </c>
      <c r="I51" s="7">
        <v>1.5766769393543E-2</v>
      </c>
      <c r="J51" s="7">
        <v>0.1418433422321394</v>
      </c>
      <c r="K51" s="7">
        <v>3.5383798683292318E-3</v>
      </c>
      <c r="L51" s="7">
        <v>1.627794221600502E-2</v>
      </c>
      <c r="M51" s="12">
        <f t="shared" si="0"/>
        <v>3.9902346643356672E-2</v>
      </c>
      <c r="N51" s="7">
        <v>4.7098755127529066E-3</v>
      </c>
      <c r="O51" s="7">
        <v>6.6005644717085588E-2</v>
      </c>
      <c r="P51" s="7">
        <v>6.1355671584546363E-3</v>
      </c>
      <c r="Q51" s="7"/>
      <c r="R51" s="13">
        <f t="shared" si="1"/>
        <v>1.0000000000000013</v>
      </c>
      <c r="S51" s="7">
        <v>1.3627359860707199E-4</v>
      </c>
      <c r="T51" s="7">
        <v>0</v>
      </c>
      <c r="U51" s="7">
        <v>2.7493413586142719E-2</v>
      </c>
      <c r="V51" s="7">
        <v>6.2469928091253724E-3</v>
      </c>
      <c r="W51" s="7">
        <v>4.16207836051186E-4</v>
      </c>
      <c r="X51" s="7">
        <v>5.6094588134303217E-3</v>
      </c>
      <c r="Y51" s="7"/>
      <c r="Z51" s="14">
        <f>IFERROR(IF(INDEX('All GHED Countries'!$D$5:$AB$199,MATCH($B51,'All GHED Countries'!$B$5:$B$199,0),MATCH($D51,'All GHED Countries'!$D$4:$AB$4,0))="","",INDEX('All GHED Countries'!$D$5:$AB$199,MATCH($B51,'All GHED Countries'!$B$5:$B$199,0),MATCH($D51,'All GHED Countries'!$D$4:$AB$4,0))),"")</f>
        <v>9.5769109700000021E-2</v>
      </c>
    </row>
    <row r="52" spans="1:26" x14ac:dyDescent="0.2">
      <c r="A52" s="6" t="s">
        <v>50</v>
      </c>
      <c r="B52" s="6" t="s">
        <v>51</v>
      </c>
      <c r="C52" s="6"/>
      <c r="D52" s="6" t="s">
        <v>26</v>
      </c>
      <c r="E52" s="6" t="s">
        <v>452</v>
      </c>
      <c r="F52" s="7">
        <v>0.55672881437874122</v>
      </c>
      <c r="G52" s="7">
        <v>5.474954460522316E-2</v>
      </c>
      <c r="H52" s="7">
        <v>4.2909153598599342E-2</v>
      </c>
      <c r="I52" s="7">
        <v>1.362883415439264E-2</v>
      </c>
      <c r="J52" s="7">
        <v>0.18728378259426429</v>
      </c>
      <c r="K52" s="7">
        <v>4.4568854739719058E-3</v>
      </c>
      <c r="L52" s="7">
        <v>1.0420871608667819E-2</v>
      </c>
      <c r="M52" s="12">
        <f t="shared" si="0"/>
        <v>5.2415603111361134E-2</v>
      </c>
      <c r="N52" s="7">
        <v>3.5159754103600582E-3</v>
      </c>
      <c r="O52" s="7">
        <v>6.9250537667869233E-2</v>
      </c>
      <c r="P52" s="7">
        <v>4.6399973965505761E-3</v>
      </c>
      <c r="Q52" s="7"/>
      <c r="R52" s="13">
        <f t="shared" si="1"/>
        <v>1.0000000000000016</v>
      </c>
      <c r="S52" s="7">
        <v>2.5177135756632E-4</v>
      </c>
      <c r="T52" s="7">
        <v>3.2372511345740999E-5</v>
      </c>
      <c r="U52" s="7">
        <v>1.533468288781384E-2</v>
      </c>
      <c r="V52" s="7">
        <v>1.1637048625262381E-2</v>
      </c>
      <c r="W52" s="7">
        <v>3.2963517651504899E-4</v>
      </c>
      <c r="X52" s="7">
        <v>2.483009255285781E-2</v>
      </c>
      <c r="Y52" s="7"/>
      <c r="Z52" s="14">
        <f>IFERROR(IF(INDEX('All GHED Countries'!$D$5:$AB$199,MATCH($B52,'All GHED Countries'!$B$5:$B$199,0),MATCH($D52,'All GHED Countries'!$D$4:$AB$4,0))="","",INDEX('All GHED Countries'!$D$5:$AB$199,MATCH($B52,'All GHED Countries'!$B$5:$B$199,0),MATCH($D52,'All GHED Countries'!$D$4:$AB$4,0))),"")</f>
        <v>0.1164750004</v>
      </c>
    </row>
    <row r="53" spans="1:26" x14ac:dyDescent="0.2">
      <c r="A53" s="6" t="s">
        <v>50</v>
      </c>
      <c r="B53" s="6" t="s">
        <v>51</v>
      </c>
      <c r="C53" s="6"/>
      <c r="D53" s="6" t="s">
        <v>27</v>
      </c>
      <c r="E53" s="6" t="s">
        <v>452</v>
      </c>
      <c r="F53" s="7">
        <v>0.47230654821648188</v>
      </c>
      <c r="G53" s="7">
        <v>6.1579887718810629E-2</v>
      </c>
      <c r="H53" s="7">
        <v>4.624995605824811E-2</v>
      </c>
      <c r="I53" s="7">
        <v>1.374357131456805E-2</v>
      </c>
      <c r="J53" s="7">
        <v>0.1443751766485355</v>
      </c>
      <c r="K53" s="7">
        <v>4.5246240911520907E-3</v>
      </c>
      <c r="L53" s="7">
        <v>1.3036460128797349E-2</v>
      </c>
      <c r="M53" s="12">
        <f t="shared" si="0"/>
        <v>0.14392853282584164</v>
      </c>
      <c r="N53" s="7">
        <v>5.2185617256530203E-3</v>
      </c>
      <c r="O53" s="7">
        <v>7.4199772270308856E-2</v>
      </c>
      <c r="P53" s="7">
        <v>2.0836909001602469E-2</v>
      </c>
      <c r="Q53" s="7"/>
      <c r="R53" s="13">
        <f t="shared" si="1"/>
        <v>0.99999999999999956</v>
      </c>
      <c r="S53" s="7">
        <v>6.7633508352173E-5</v>
      </c>
      <c r="T53" s="7">
        <v>2.5162646411488E-5</v>
      </c>
      <c r="U53" s="7">
        <v>1.8645718171353201E-2</v>
      </c>
      <c r="V53" s="7">
        <v>1.8308981275401259E-2</v>
      </c>
      <c r="W53" s="7">
        <v>0.1035036494578203</v>
      </c>
      <c r="X53" s="7">
        <v>3.3773877665032388E-3</v>
      </c>
      <c r="Y53" s="7"/>
      <c r="Z53" s="14">
        <f>IFERROR(IF(INDEX('All GHED Countries'!$D$5:$AB$199,MATCH($B53,'All GHED Countries'!$B$5:$B$199,0),MATCH($D53,'All GHED Countries'!$D$4:$AB$4,0))="","",INDEX('All GHED Countries'!$D$5:$AB$199,MATCH($B53,'All GHED Countries'!$B$5:$B$199,0),MATCH($D53,'All GHED Countries'!$D$4:$AB$4,0))),"")</f>
        <v>9.8384151499999989E-2</v>
      </c>
    </row>
    <row r="54" spans="1:26" x14ac:dyDescent="0.2">
      <c r="A54" s="6" t="s">
        <v>50</v>
      </c>
      <c r="B54" s="6" t="s">
        <v>51</v>
      </c>
      <c r="C54" s="6"/>
      <c r="D54" s="6" t="s">
        <v>28</v>
      </c>
      <c r="E54" s="6" t="s">
        <v>452</v>
      </c>
      <c r="F54" s="7">
        <v>0.53314150199165433</v>
      </c>
      <c r="G54" s="7">
        <v>5.7582857127604213E-2</v>
      </c>
      <c r="H54" s="7">
        <v>0.1069505644738081</v>
      </c>
      <c r="I54" s="7">
        <v>1.783896379258185E-2</v>
      </c>
      <c r="J54" s="7">
        <v>0.1650008578395214</v>
      </c>
      <c r="K54" s="7">
        <v>3.5482940544976239E-3</v>
      </c>
      <c r="L54" s="7">
        <v>1.2067389838124869E-2</v>
      </c>
      <c r="M54" s="12">
        <f t="shared" si="0"/>
        <v>3.8931189781540095E-2</v>
      </c>
      <c r="N54" s="7">
        <v>3.9342618924000337E-3</v>
      </c>
      <c r="O54" s="7">
        <v>5.4396248939850088E-2</v>
      </c>
      <c r="P54" s="7">
        <v>6.6078702684163734E-3</v>
      </c>
      <c r="Q54" s="7"/>
      <c r="R54" s="13">
        <f t="shared" si="1"/>
        <v>0.999999999999999</v>
      </c>
      <c r="S54" s="7">
        <v>4.5621980448119003E-5</v>
      </c>
      <c r="T54" s="7">
        <v>4.9368423036341398E-4</v>
      </c>
      <c r="U54" s="7">
        <v>2.3499429341391761E-2</v>
      </c>
      <c r="V54" s="7">
        <v>1.185707184694865E-2</v>
      </c>
      <c r="W54" s="7">
        <v>0</v>
      </c>
      <c r="X54" s="7">
        <v>3.0353823823881482E-3</v>
      </c>
      <c r="Y54" s="7"/>
      <c r="Z54" s="14">
        <f>IFERROR(IF(INDEX('All GHED Countries'!$D$5:$AB$199,MATCH($B54,'All GHED Countries'!$B$5:$B$199,0),MATCH($D54,'All GHED Countries'!$D$4:$AB$4,0))="","",INDEX('All GHED Countries'!$D$5:$AB$199,MATCH($B54,'All GHED Countries'!$B$5:$B$199,0),MATCH($D54,'All GHED Countries'!$D$4:$AB$4,0))),"")</f>
        <v>8.3968486799999992E-2</v>
      </c>
    </row>
    <row r="55" spans="1:26" x14ac:dyDescent="0.2">
      <c r="A55" s="6" t="s">
        <v>50</v>
      </c>
      <c r="B55" s="6" t="s">
        <v>51</v>
      </c>
      <c r="C55" s="6"/>
      <c r="D55" s="6" t="s">
        <v>29</v>
      </c>
      <c r="E55" s="6" t="s">
        <v>452</v>
      </c>
      <c r="F55" s="7">
        <v>0.1140210778116212</v>
      </c>
      <c r="G55" s="7">
        <v>7.8095917264592973E-2</v>
      </c>
      <c r="H55" s="7">
        <v>0.17581055949987151</v>
      </c>
      <c r="I55" s="7">
        <v>6.599363422280842E-2</v>
      </c>
      <c r="J55" s="7">
        <v>0.231735214108691</v>
      </c>
      <c r="K55" s="7">
        <v>2.0171566546662779E-2</v>
      </c>
      <c r="L55" s="7">
        <v>8.8415248591806935E-3</v>
      </c>
      <c r="M55" s="12">
        <f t="shared" si="0"/>
        <v>8.4011051318550273E-2</v>
      </c>
      <c r="N55" s="7">
        <v>1.031025891873835E-2</v>
      </c>
      <c r="O55" s="7">
        <v>0.1884475838208558</v>
      </c>
      <c r="P55" s="7">
        <v>2.256161162842726E-2</v>
      </c>
      <c r="Q55" s="7"/>
      <c r="R55" s="13">
        <f t="shared" si="1"/>
        <v>1.0000000000000002</v>
      </c>
      <c r="S55" s="7">
        <v>0</v>
      </c>
      <c r="T55" s="7">
        <v>6.6172577013063763E-3</v>
      </c>
      <c r="U55" s="7">
        <v>6.8684148989600902E-2</v>
      </c>
      <c r="V55" s="7">
        <v>4.3689247386152937E-3</v>
      </c>
      <c r="W55" s="7">
        <v>9.2145881133632701E-4</v>
      </c>
      <c r="X55" s="7">
        <v>3.4192610776913731E-3</v>
      </c>
      <c r="Y55" s="7"/>
      <c r="Z55" s="14">
        <f>IFERROR(IF(INDEX('All GHED Countries'!$D$5:$AB$199,MATCH($B55,'All GHED Countries'!$B$5:$B$199,0),MATCH($D55,'All GHED Countries'!$D$4:$AB$4,0))="","",INDEX('All GHED Countries'!$D$5:$AB$199,MATCH($B55,'All GHED Countries'!$B$5:$B$199,0),MATCH($D55,'All GHED Countries'!$D$4:$AB$4,0))),"")</f>
        <v>8.7753620099999999E-2</v>
      </c>
    </row>
    <row r="56" spans="1:26" x14ac:dyDescent="0.2">
      <c r="A56" s="6" t="s">
        <v>50</v>
      </c>
      <c r="B56" s="6" t="s">
        <v>51</v>
      </c>
      <c r="C56" s="6"/>
      <c r="D56" s="6" t="s">
        <v>30</v>
      </c>
      <c r="E56" s="6" t="s">
        <v>452</v>
      </c>
      <c r="F56" s="7">
        <v>0.1207858306327016</v>
      </c>
      <c r="G56" s="7">
        <v>7.7993810764388175E-2</v>
      </c>
      <c r="H56" s="7">
        <v>0.1826369785364502</v>
      </c>
      <c r="I56" s="7">
        <v>6.4837959795000885E-2</v>
      </c>
      <c r="J56" s="7">
        <v>0.22267581984601559</v>
      </c>
      <c r="K56" s="7">
        <v>1.554008501727961E-2</v>
      </c>
      <c r="L56" s="7">
        <v>3.631262287910544E-3</v>
      </c>
      <c r="M56" s="12">
        <f t="shared" si="0"/>
        <v>9.632653618587439E-2</v>
      </c>
      <c r="N56" s="7">
        <v>8.4477203153193563E-3</v>
      </c>
      <c r="O56" s="7">
        <v>0.1928508770301719</v>
      </c>
      <c r="P56" s="7">
        <v>1.427311958888778E-2</v>
      </c>
      <c r="Q56" s="7"/>
      <c r="R56" s="13">
        <f t="shared" si="1"/>
        <v>1</v>
      </c>
      <c r="S56" s="7">
        <v>1.020809132022852E-2</v>
      </c>
      <c r="T56" s="7">
        <v>6.4438437865319718E-3</v>
      </c>
      <c r="U56" s="7">
        <v>6.1360633303288732E-2</v>
      </c>
      <c r="V56" s="7">
        <v>1.192588211669243E-3</v>
      </c>
      <c r="W56" s="7">
        <v>2.3276311186786901E-4</v>
      </c>
      <c r="X56" s="7">
        <v>1.6888616452288049E-2</v>
      </c>
      <c r="Y56" s="7"/>
      <c r="Z56" s="14" t="str">
        <f>IFERROR(IF(INDEX('All GHED Countries'!$D$5:$AB$199,MATCH($B56,'All GHED Countries'!$B$5:$B$199,0),MATCH($D56,'All GHED Countries'!$D$4:$AB$4,0))="","",INDEX('All GHED Countries'!$D$5:$AB$199,MATCH($B56,'All GHED Countries'!$B$5:$B$199,0),MATCH($D56,'All GHED Countries'!$D$4:$AB$4,0))),"")</f>
        <v/>
      </c>
    </row>
    <row r="57" spans="1:26" x14ac:dyDescent="0.2">
      <c r="A57" s="6" t="s">
        <v>52</v>
      </c>
      <c r="B57" s="6" t="s">
        <v>53</v>
      </c>
      <c r="C57" s="6" t="s">
        <v>49</v>
      </c>
      <c r="D57" s="6" t="s">
        <v>16</v>
      </c>
      <c r="E57" s="6" t="s">
        <v>452</v>
      </c>
      <c r="F57" s="7">
        <v>0.1489946220228543</v>
      </c>
      <c r="G57" s="7">
        <v>2.32060097057997E-2</v>
      </c>
      <c r="H57" s="7">
        <v>5.6307287759017E-2</v>
      </c>
      <c r="I57" s="7">
        <v>3.5526070861102398E-2</v>
      </c>
      <c r="J57" s="7">
        <v>5.09732351841439E-2</v>
      </c>
      <c r="K57" s="7">
        <v>4.9546966701946504E-3</v>
      </c>
      <c r="L57" s="7">
        <v>3.9227766343084896E-3</v>
      </c>
      <c r="M57" s="12">
        <f t="shared" si="0"/>
        <v>6.1783078464171699E-2</v>
      </c>
      <c r="N57" s="7">
        <v>1.70079251434619E-3</v>
      </c>
      <c r="O57" s="7">
        <v>0.14961054424581199</v>
      </c>
      <c r="P57" s="7">
        <v>6.8114832137128097E-3</v>
      </c>
      <c r="Q57" s="7">
        <v>0.45620940272453692</v>
      </c>
      <c r="R57" s="13">
        <f t="shared" si="1"/>
        <v>1</v>
      </c>
      <c r="S57" s="7"/>
      <c r="T57" s="7">
        <v>4.5500966610990002E-5</v>
      </c>
      <c r="U57" s="7">
        <v>1.4835207242554001E-2</v>
      </c>
      <c r="V57" s="7">
        <v>1.89547450759893E-3</v>
      </c>
      <c r="W57" s="7"/>
      <c r="X57" s="7"/>
      <c r="Y57" s="7">
        <v>4.500689574740778E-2</v>
      </c>
      <c r="Z57" s="14">
        <f>IFERROR(IF(INDEX('All GHED Countries'!$D$5:$AB$199,MATCH($B57,'All GHED Countries'!$B$5:$B$199,0),MATCH($D57,'All GHED Countries'!$D$4:$AB$4,0))="","",INDEX('All GHED Countries'!$D$5:$AB$199,MATCH($B57,'All GHED Countries'!$B$5:$B$199,0),MATCH($D57,'All GHED Countries'!$D$4:$AB$4,0))),"")</f>
        <v>4.8606638899999999E-2</v>
      </c>
    </row>
    <row r="58" spans="1:26" x14ac:dyDescent="0.2">
      <c r="A58" s="6" t="s">
        <v>52</v>
      </c>
      <c r="B58" s="6" t="s">
        <v>53</v>
      </c>
      <c r="C58" s="6" t="s">
        <v>49</v>
      </c>
      <c r="D58" s="6" t="s">
        <v>17</v>
      </c>
      <c r="E58" s="6" t="s">
        <v>452</v>
      </c>
      <c r="F58" s="7">
        <v>0.1439771092365689</v>
      </c>
      <c r="G58" s="7">
        <v>2.8247466851421099E-2</v>
      </c>
      <c r="H58" s="7">
        <v>6.5724276046485508E-2</v>
      </c>
      <c r="I58" s="7">
        <v>4.3759063103009997E-2</v>
      </c>
      <c r="J58" s="7">
        <v>6.8024508110748907E-2</v>
      </c>
      <c r="K58" s="7">
        <v>4.3232151864693999E-3</v>
      </c>
      <c r="L58" s="7">
        <v>3.4973449904452301E-3</v>
      </c>
      <c r="M58" s="12">
        <f t="shared" si="0"/>
        <v>5.9117316148864202E-2</v>
      </c>
      <c r="N58" s="7">
        <v>1.64230092002525E-3</v>
      </c>
      <c r="O58" s="7">
        <v>0.149510155729838</v>
      </c>
      <c r="P58" s="7">
        <v>6.6028006900189394E-3</v>
      </c>
      <c r="Q58" s="7">
        <v>0.42557444298610458</v>
      </c>
      <c r="R58" s="13">
        <f t="shared" si="1"/>
        <v>1</v>
      </c>
      <c r="S58" s="7"/>
      <c r="T58" s="7">
        <v>2.8659030341809998E-5</v>
      </c>
      <c r="U58" s="7">
        <v>1.31495088638899E-2</v>
      </c>
      <c r="V58" s="7">
        <v>1.8258919048154301E-3</v>
      </c>
      <c r="W58" s="7"/>
      <c r="X58" s="7"/>
      <c r="Y58" s="7">
        <v>4.4113256349817061E-2</v>
      </c>
      <c r="Z58" s="14">
        <f>IFERROR(IF(INDEX('All GHED Countries'!$D$5:$AB$199,MATCH($B58,'All GHED Countries'!$B$5:$B$199,0),MATCH($D58,'All GHED Countries'!$D$4:$AB$4,0))="","",INDEX('All GHED Countries'!$D$5:$AB$199,MATCH($B58,'All GHED Countries'!$B$5:$B$199,0),MATCH($D58,'All GHED Countries'!$D$4:$AB$4,0))),"")</f>
        <v>8.2279138599999968E-2</v>
      </c>
    </row>
    <row r="59" spans="1:26" x14ac:dyDescent="0.2">
      <c r="A59" s="6" t="s">
        <v>52</v>
      </c>
      <c r="B59" s="6" t="s">
        <v>53</v>
      </c>
      <c r="C59" s="6" t="s">
        <v>49</v>
      </c>
      <c r="D59" s="6" t="s">
        <v>18</v>
      </c>
      <c r="E59" s="6" t="s">
        <v>452</v>
      </c>
      <c r="F59" s="7">
        <v>0.1819092558287955</v>
      </c>
      <c r="G59" s="7">
        <v>3.2644679803657498E-2</v>
      </c>
      <c r="H59" s="7">
        <v>8.5438948733337197E-2</v>
      </c>
      <c r="I59" s="7">
        <v>4.9908343169974813E-2</v>
      </c>
      <c r="J59" s="7">
        <v>7.4448905483342098E-2</v>
      </c>
      <c r="K59" s="7">
        <v>3.4699915080898601E-3</v>
      </c>
      <c r="L59" s="7">
        <v>2.90516733610477E-3</v>
      </c>
      <c r="M59" s="12">
        <f t="shared" si="0"/>
        <v>8.6677944871869916E-2</v>
      </c>
      <c r="N59" s="7">
        <v>2.1476260797860902E-3</v>
      </c>
      <c r="O59" s="7">
        <v>0.181366980892714</v>
      </c>
      <c r="P59" s="7">
        <v>8.2051941058219596E-3</v>
      </c>
      <c r="Q59" s="7">
        <v>0.29087696218650633</v>
      </c>
      <c r="R59" s="13">
        <f t="shared" si="1"/>
        <v>1.0000000000000002</v>
      </c>
      <c r="S59" s="7"/>
      <c r="T59" s="7">
        <v>7.6443560317738997E-5</v>
      </c>
      <c r="U59" s="7">
        <v>2.97446871508871E-2</v>
      </c>
      <c r="V59" s="7">
        <v>2.59485614204579E-3</v>
      </c>
      <c r="W59" s="7"/>
      <c r="X59" s="7"/>
      <c r="Y59" s="7">
        <v>5.4261958018619279E-2</v>
      </c>
      <c r="Z59" s="14">
        <f>IFERROR(IF(INDEX('All GHED Countries'!$D$5:$AB$199,MATCH($B59,'All GHED Countries'!$B$5:$B$199,0),MATCH($D59,'All GHED Countries'!$D$4:$AB$4,0))="","",INDEX('All GHED Countries'!$D$5:$AB$199,MATCH($B59,'All GHED Countries'!$B$5:$B$199,0),MATCH($D59,'All GHED Countries'!$D$4:$AB$4,0))),"")</f>
        <v>7.1102819400000017E-2</v>
      </c>
    </row>
    <row r="60" spans="1:26" x14ac:dyDescent="0.2">
      <c r="A60" s="6" t="s">
        <v>52</v>
      </c>
      <c r="B60" s="6" t="s">
        <v>53</v>
      </c>
      <c r="C60" s="6" t="s">
        <v>49</v>
      </c>
      <c r="D60" s="6" t="s">
        <v>19</v>
      </c>
      <c r="E60" s="6" t="s">
        <v>452</v>
      </c>
      <c r="F60" s="7">
        <v>0.1319058949132568</v>
      </c>
      <c r="G60" s="7">
        <v>2.7663518324800199E-2</v>
      </c>
      <c r="H60" s="7">
        <v>8.8884802007440394E-2</v>
      </c>
      <c r="I60" s="7">
        <v>6.8415313271207007E-2</v>
      </c>
      <c r="J60" s="7">
        <v>8.0884668370842405E-2</v>
      </c>
      <c r="K60" s="7">
        <v>4.6758251768020901E-3</v>
      </c>
      <c r="L60" s="7">
        <v>4.3364539522634396E-3</v>
      </c>
      <c r="M60" s="12">
        <f t="shared" si="0"/>
        <v>8.4590011087885345E-2</v>
      </c>
      <c r="N60" s="7">
        <v>2.33784097848908E-3</v>
      </c>
      <c r="O60" s="7">
        <v>0.185447898633467</v>
      </c>
      <c r="P60" s="7">
        <v>9.0461743508048198E-3</v>
      </c>
      <c r="Q60" s="7">
        <v>0.31181159893274152</v>
      </c>
      <c r="R60" s="13">
        <f t="shared" si="1"/>
        <v>1</v>
      </c>
      <c r="S60" s="7">
        <v>5.12058555895245E-2</v>
      </c>
      <c r="T60" s="7">
        <v>7.2260888983018996E-5</v>
      </c>
      <c r="U60" s="7">
        <v>2.9990377992743698E-2</v>
      </c>
      <c r="V60" s="7">
        <v>2.6051436673542299E-3</v>
      </c>
      <c r="W60" s="7">
        <v>0</v>
      </c>
      <c r="X60" s="7">
        <v>7.1637294927989997E-4</v>
      </c>
      <c r="Y60" s="7"/>
      <c r="Z60" s="14">
        <f>IFERROR(IF(INDEX('All GHED Countries'!$D$5:$AB$199,MATCH($B60,'All GHED Countries'!$B$5:$B$199,0),MATCH($D60,'All GHED Countries'!$D$4:$AB$4,0))="","",INDEX('All GHED Countries'!$D$5:$AB$199,MATCH($B60,'All GHED Countries'!$B$5:$B$199,0),MATCH($D60,'All GHED Countries'!$D$4:$AB$4,0))),"")</f>
        <v>4.4317016600000002E-2</v>
      </c>
    </row>
    <row r="61" spans="1:26" x14ac:dyDescent="0.2">
      <c r="A61" s="6" t="s">
        <v>56</v>
      </c>
      <c r="B61" s="6" t="s">
        <v>57</v>
      </c>
      <c r="C61" s="6" t="s">
        <v>49</v>
      </c>
      <c r="D61" s="6" t="s">
        <v>27</v>
      </c>
      <c r="E61" s="6" t="s">
        <v>452</v>
      </c>
      <c r="F61" s="7">
        <v>0.32703458705379129</v>
      </c>
      <c r="G61" s="7">
        <v>6.4479222831136593E-2</v>
      </c>
      <c r="H61" s="7">
        <v>6.6754521503755007E-2</v>
      </c>
      <c r="I61" s="7">
        <v>4.2719604782932803E-2</v>
      </c>
      <c r="J61" s="7">
        <v>0.190605222852576</v>
      </c>
      <c r="K61" s="7">
        <v>1.3486388073121101E-3</v>
      </c>
      <c r="L61" s="7">
        <v>3.9575062553884502E-2</v>
      </c>
      <c r="M61" s="12">
        <f t="shared" si="0"/>
        <v>5.9021733248392987E-2</v>
      </c>
      <c r="N61" s="7">
        <v>2.07378534237289E-2</v>
      </c>
      <c r="O61" s="7">
        <v>0.182176073101873</v>
      </c>
      <c r="P61" s="7">
        <v>5.5474798406164004E-3</v>
      </c>
      <c r="Q61" s="7"/>
      <c r="R61" s="13">
        <f t="shared" si="1"/>
        <v>0.99999999999999967</v>
      </c>
      <c r="S61" s="7">
        <v>1.6101552403089499E-4</v>
      </c>
      <c r="T61" s="7">
        <v>0</v>
      </c>
      <c r="U61" s="7">
        <v>2.7836460999045901E-3</v>
      </c>
      <c r="V61" s="7">
        <v>4.8792530249484999E-3</v>
      </c>
      <c r="W61" s="7">
        <v>3.0157914651980303E-4</v>
      </c>
      <c r="X61" s="7">
        <v>5.0896239452989198E-2</v>
      </c>
      <c r="Y61" s="7"/>
      <c r="Z61" s="14">
        <f>IFERROR(IF(INDEX('All GHED Countries'!$D$5:$AB$199,MATCH($B61,'All GHED Countries'!$B$5:$B$199,0),MATCH($D61,'All GHED Countries'!$D$4:$AB$4,0))="","",INDEX('All GHED Countries'!$D$5:$AB$199,MATCH($B61,'All GHED Countries'!$B$5:$B$199,0),MATCH($D61,'All GHED Countries'!$D$4:$AB$4,0))),"")</f>
        <v>2.8629238599999999E-2</v>
      </c>
    </row>
    <row r="62" spans="1:26" x14ac:dyDescent="0.2">
      <c r="A62" s="6" t="s">
        <v>58</v>
      </c>
      <c r="B62" s="6" t="s">
        <v>59</v>
      </c>
      <c r="C62" s="6"/>
      <c r="D62" s="6" t="s">
        <v>14</v>
      </c>
      <c r="E62" s="6" t="s">
        <v>452</v>
      </c>
      <c r="F62" s="7">
        <v>0.38728799660604468</v>
      </c>
      <c r="G62" s="7">
        <v>7.9068067591272301E-2</v>
      </c>
      <c r="H62" s="7">
        <v>0.14028041175922701</v>
      </c>
      <c r="I62" s="7">
        <v>5.7168467867155993E-2</v>
      </c>
      <c r="J62" s="7">
        <v>4.0175098786486799E-2</v>
      </c>
      <c r="K62" s="7">
        <v>0</v>
      </c>
      <c r="L62" s="7">
        <v>3.36844197354862E-2</v>
      </c>
      <c r="M62" s="12">
        <f t="shared" si="0"/>
        <v>4.7621825989042701E-2</v>
      </c>
      <c r="N62" s="7">
        <v>4.5014786836410194E-3</v>
      </c>
      <c r="O62" s="7">
        <v>8.3217448749454886E-2</v>
      </c>
      <c r="P62" s="7">
        <v>4.8071945544373197E-3</v>
      </c>
      <c r="Q62" s="7">
        <v>0.12218758967775099</v>
      </c>
      <c r="R62" s="13">
        <f t="shared" si="1"/>
        <v>1</v>
      </c>
      <c r="S62" s="7"/>
      <c r="T62" s="7"/>
      <c r="U62" s="7"/>
      <c r="V62" s="7"/>
      <c r="W62" s="7"/>
      <c r="X62" s="7"/>
      <c r="Y62" s="7">
        <v>4.7621825989042701E-2</v>
      </c>
      <c r="Z62" s="14">
        <f>IFERROR(IF(INDEX('All GHED Countries'!$D$5:$AB$199,MATCH($B62,'All GHED Countries'!$B$5:$B$199,0),MATCH($D62,'All GHED Countries'!$D$4:$AB$4,0))="","",INDEX('All GHED Countries'!$D$5:$AB$199,MATCH($B62,'All GHED Countries'!$B$5:$B$199,0),MATCH($D62,'All GHED Countries'!$D$4:$AB$4,0))),"")</f>
        <v>5.2834930400000001E-2</v>
      </c>
    </row>
    <row r="63" spans="1:26" x14ac:dyDescent="0.2">
      <c r="A63" s="6" t="s">
        <v>58</v>
      </c>
      <c r="B63" s="6" t="s">
        <v>59</v>
      </c>
      <c r="C63" s="6"/>
      <c r="D63" s="6" t="s">
        <v>15</v>
      </c>
      <c r="E63" s="6" t="s">
        <v>452</v>
      </c>
      <c r="F63" s="7">
        <v>0.38155311329171981</v>
      </c>
      <c r="G63" s="7">
        <v>5.5409634440658197E-2</v>
      </c>
      <c r="H63" s="7">
        <v>0.10123261342845</v>
      </c>
      <c r="I63" s="7">
        <v>1.9214000313927102E-2</v>
      </c>
      <c r="J63" s="7">
        <v>5.4616209490932599E-2</v>
      </c>
      <c r="K63" s="7">
        <v>0</v>
      </c>
      <c r="L63" s="7">
        <v>2.5626852147666801E-2</v>
      </c>
      <c r="M63" s="12">
        <f t="shared" si="0"/>
        <v>3.4508915163125202E-2</v>
      </c>
      <c r="N63" s="7">
        <v>5.8181168717393091E-3</v>
      </c>
      <c r="O63" s="7">
        <v>6.7768849449525201E-2</v>
      </c>
      <c r="P63" s="7">
        <v>4.4167995477307686E-3</v>
      </c>
      <c r="Q63" s="7">
        <v>0.24983489585452501</v>
      </c>
      <c r="R63" s="13">
        <f t="shared" si="1"/>
        <v>0.99999999999999989</v>
      </c>
      <c r="S63" s="7"/>
      <c r="T63" s="7"/>
      <c r="U63" s="7"/>
      <c r="V63" s="7"/>
      <c r="W63" s="7"/>
      <c r="X63" s="7"/>
      <c r="Y63" s="7">
        <v>3.4508915163125202E-2</v>
      </c>
      <c r="Z63" s="14">
        <f>IFERROR(IF(INDEX('All GHED Countries'!$D$5:$AB$199,MATCH($B63,'All GHED Countries'!$B$5:$B$199,0),MATCH($D63,'All GHED Countries'!$D$4:$AB$4,0))="","",INDEX('All GHED Countries'!$D$5:$AB$199,MATCH($B63,'All GHED Countries'!$B$5:$B$199,0),MATCH($D63,'All GHED Countries'!$D$4:$AB$4,0))),"")</f>
        <v>4.57543802E-2</v>
      </c>
    </row>
    <row r="64" spans="1:26" x14ac:dyDescent="0.2">
      <c r="A64" s="6" t="s">
        <v>58</v>
      </c>
      <c r="B64" s="6" t="s">
        <v>59</v>
      </c>
      <c r="C64" s="6"/>
      <c r="D64" s="6" t="s">
        <v>16</v>
      </c>
      <c r="E64" s="6" t="s">
        <v>452</v>
      </c>
      <c r="F64" s="7">
        <v>0.23248200466759389</v>
      </c>
      <c r="G64" s="7">
        <v>3.8260754981560098E-2</v>
      </c>
      <c r="H64" s="7">
        <v>9.6954963876522693E-2</v>
      </c>
      <c r="I64" s="7">
        <v>1.2793917475799501E-2</v>
      </c>
      <c r="J64" s="7">
        <v>5.8058462770797098E-2</v>
      </c>
      <c r="K64" s="7">
        <v>0</v>
      </c>
      <c r="L64" s="7">
        <v>2.162769362398E-2</v>
      </c>
      <c r="M64" s="12">
        <f t="shared" si="0"/>
        <v>2.61531870386526E-2</v>
      </c>
      <c r="N64" s="7">
        <v>7.37336617762152E-3</v>
      </c>
      <c r="O64" s="7">
        <v>4.6292448093641497E-2</v>
      </c>
      <c r="P64" s="7">
        <v>2.6189801650551301E-3</v>
      </c>
      <c r="Q64" s="7">
        <v>0.45738422112877591</v>
      </c>
      <c r="R64" s="13">
        <f t="shared" si="1"/>
        <v>1</v>
      </c>
      <c r="S64" s="7"/>
      <c r="T64" s="7"/>
      <c r="U64" s="7"/>
      <c r="V64" s="7"/>
      <c r="W64" s="7"/>
      <c r="X64" s="7"/>
      <c r="Y64" s="7">
        <v>2.61531870386526E-2</v>
      </c>
      <c r="Z64" s="14">
        <f>IFERROR(IF(INDEX('All GHED Countries'!$D$5:$AB$199,MATCH($B64,'All GHED Countries'!$B$5:$B$199,0),MATCH($D64,'All GHED Countries'!$D$4:$AB$4,0))="","",INDEX('All GHED Countries'!$D$5:$AB$199,MATCH($B64,'All GHED Countries'!$B$5:$B$199,0),MATCH($D64,'All GHED Countries'!$D$4:$AB$4,0))),"")</f>
        <v>3.3414733399999987E-2</v>
      </c>
    </row>
    <row r="65" spans="1:26" x14ac:dyDescent="0.2">
      <c r="A65" s="6" t="s">
        <v>66</v>
      </c>
      <c r="B65" s="6" t="s">
        <v>67</v>
      </c>
      <c r="C65" s="6"/>
      <c r="D65" s="6" t="s">
        <v>20</v>
      </c>
      <c r="E65" s="6" t="s">
        <v>452</v>
      </c>
      <c r="F65" s="7">
        <v>0.1327639243611036</v>
      </c>
      <c r="G65" s="7">
        <v>0.1405852746683629</v>
      </c>
      <c r="H65" s="7">
        <v>2.720533411388535E-2</v>
      </c>
      <c r="I65" s="7">
        <v>4.3725308953230672E-2</v>
      </c>
      <c r="J65" s="7">
        <v>0.19694003576305261</v>
      </c>
      <c r="K65" s="7">
        <v>4.8011959812551833E-3</v>
      </c>
      <c r="L65" s="7">
        <v>1.628872515556945E-2</v>
      </c>
      <c r="M65" s="12">
        <f t="shared" si="0"/>
        <v>0.10394915821348882</v>
      </c>
      <c r="N65" s="7">
        <v>9.4376639315189165E-3</v>
      </c>
      <c r="O65" s="7">
        <v>0.2257679847093309</v>
      </c>
      <c r="P65" s="7">
        <v>8.5200572811084355E-2</v>
      </c>
      <c r="Q65" s="7">
        <v>1.3334821338117279E-2</v>
      </c>
      <c r="R65" s="13">
        <f t="shared" si="1"/>
        <v>1.0000000000000002</v>
      </c>
      <c r="S65" s="7"/>
      <c r="T65" s="7">
        <v>3.4278325683608992E-3</v>
      </c>
      <c r="U65" s="7">
        <v>1.023342420028347E-2</v>
      </c>
      <c r="V65" s="7">
        <v>5.953134528493248E-3</v>
      </c>
      <c r="W65" s="7">
        <v>1.0300150978602001E-5</v>
      </c>
      <c r="X65" s="7">
        <v>8.4324466765372599E-2</v>
      </c>
      <c r="Y65" s="7"/>
      <c r="Z65" s="14">
        <f>IFERROR(IF(INDEX('All GHED Countries'!$D$5:$AB$199,MATCH($B65,'All GHED Countries'!$B$5:$B$199,0),MATCH($D65,'All GHED Countries'!$D$4:$AB$4,0))="","",INDEX('All GHED Countries'!$D$5:$AB$199,MATCH($B65,'All GHED Countries'!$B$5:$B$199,0),MATCH($D65,'All GHED Countries'!$D$4:$AB$4,0))),"")</f>
        <v>0.14475960730000001</v>
      </c>
    </row>
    <row r="66" spans="1:26" x14ac:dyDescent="0.2">
      <c r="A66" s="6" t="s">
        <v>66</v>
      </c>
      <c r="B66" s="6" t="s">
        <v>67</v>
      </c>
      <c r="C66" s="6"/>
      <c r="D66" s="6" t="s">
        <v>21</v>
      </c>
      <c r="E66" s="6" t="s">
        <v>453</v>
      </c>
      <c r="F66" s="7">
        <v>9.7616850311130113E-2</v>
      </c>
      <c r="G66" s="7">
        <v>0.13286014277032929</v>
      </c>
      <c r="H66" s="7">
        <v>2.639531723913047E-2</v>
      </c>
      <c r="I66" s="7">
        <v>4.1590042695553081E-2</v>
      </c>
      <c r="J66" s="7">
        <v>0.1969371711195877</v>
      </c>
      <c r="K66" s="7">
        <v>1.949630349673253E-2</v>
      </c>
      <c r="L66" s="7">
        <v>2.3055936558744761E-2</v>
      </c>
      <c r="M66" s="12">
        <f t="shared" si="0"/>
        <v>8.232385347300003E-2</v>
      </c>
      <c r="N66" s="7">
        <v>9.9956829455001197E-3</v>
      </c>
      <c r="O66" s="7">
        <v>0.2280391001965866</v>
      </c>
      <c r="P66" s="7">
        <v>0.1416895991937038</v>
      </c>
      <c r="Q66" s="7"/>
      <c r="R66" s="13">
        <f t="shared" si="1"/>
        <v>0.99999999999999845</v>
      </c>
      <c r="S66" s="7">
        <v>0</v>
      </c>
      <c r="T66" s="7">
        <v>4.4395595657504587E-3</v>
      </c>
      <c r="U66" s="7">
        <v>8.7097894762860392E-3</v>
      </c>
      <c r="V66" s="7">
        <v>1.1415616617590661E-2</v>
      </c>
      <c r="W66" s="7">
        <v>9.1663797185370006E-6</v>
      </c>
      <c r="X66" s="7">
        <v>5.7749721433654339E-2</v>
      </c>
      <c r="Y66" s="7"/>
      <c r="Z66" s="14">
        <f>IFERROR(IF(INDEX('All GHED Countries'!$D$5:$AB$199,MATCH($B66,'All GHED Countries'!$B$5:$B$199,0),MATCH($D66,'All GHED Countries'!$D$4:$AB$4,0))="","",INDEX('All GHED Countries'!$D$5:$AB$199,MATCH($B66,'All GHED Countries'!$B$5:$B$199,0),MATCH($D66,'All GHED Countries'!$D$4:$AB$4,0))),"")</f>
        <v>0.1419551849</v>
      </c>
    </row>
    <row r="67" spans="1:26" x14ac:dyDescent="0.2">
      <c r="A67" s="6" t="s">
        <v>66</v>
      </c>
      <c r="B67" s="6" t="s">
        <v>67</v>
      </c>
      <c r="C67" s="6"/>
      <c r="D67" s="6" t="s">
        <v>22</v>
      </c>
      <c r="E67" s="6" t="s">
        <v>453</v>
      </c>
      <c r="F67" s="7">
        <v>0.1210033093327231</v>
      </c>
      <c r="G67" s="7">
        <v>0.14235284942718809</v>
      </c>
      <c r="H67" s="7">
        <v>2.6882529692709409E-2</v>
      </c>
      <c r="I67" s="7">
        <v>4.0829548416524183E-2</v>
      </c>
      <c r="J67" s="7">
        <v>0.17949961031626771</v>
      </c>
      <c r="K67" s="7">
        <v>1.9760677239530729E-2</v>
      </c>
      <c r="L67" s="7">
        <v>2.8384930194946228E-2</v>
      </c>
      <c r="M67" s="12">
        <f t="shared" si="0"/>
        <v>7.0458871310126375E-2</v>
      </c>
      <c r="N67" s="7">
        <v>9.5199314358708868E-3</v>
      </c>
      <c r="O67" s="7">
        <v>0.22261269312614709</v>
      </c>
      <c r="P67" s="7">
        <v>0.13869504950796641</v>
      </c>
      <c r="Q67" s="7"/>
      <c r="R67" s="13">
        <f t="shared" si="1"/>
        <v>1.0000000000000002</v>
      </c>
      <c r="S67" s="7">
        <v>0</v>
      </c>
      <c r="T67" s="7">
        <v>0</v>
      </c>
      <c r="U67" s="7">
        <v>2.7994644908054429E-3</v>
      </c>
      <c r="V67" s="7">
        <v>4.8246912984509248E-2</v>
      </c>
      <c r="W67" s="7">
        <v>8.2555443068360007E-6</v>
      </c>
      <c r="X67" s="7">
        <v>1.940423829050485E-2</v>
      </c>
      <c r="Y67" s="7"/>
      <c r="Z67" s="14">
        <f>IFERROR(IF(INDEX('All GHED Countries'!$D$5:$AB$199,MATCH($B67,'All GHED Countries'!$B$5:$B$199,0),MATCH($D67,'All GHED Countries'!$D$4:$AB$4,0))="","",INDEX('All GHED Countries'!$D$5:$AB$199,MATCH($B67,'All GHED Countries'!$B$5:$B$199,0),MATCH($D67,'All GHED Countries'!$D$4:$AB$4,0))),"")</f>
        <v>0.15698118210000001</v>
      </c>
    </row>
    <row r="68" spans="1:26" x14ac:dyDescent="0.2">
      <c r="A68" s="6" t="s">
        <v>66</v>
      </c>
      <c r="B68" s="6" t="s">
        <v>67</v>
      </c>
      <c r="C68" s="6"/>
      <c r="D68" s="6" t="s">
        <v>23</v>
      </c>
      <c r="E68" s="6" t="s">
        <v>453</v>
      </c>
      <c r="F68" s="7">
        <v>0.10956088299454519</v>
      </c>
      <c r="G68" s="7">
        <v>0.13982671466327101</v>
      </c>
      <c r="H68" s="7">
        <v>2.9102477560505591E-2</v>
      </c>
      <c r="I68" s="7">
        <v>4.3187345003357767E-2</v>
      </c>
      <c r="J68" s="7">
        <v>0.18848650880894249</v>
      </c>
      <c r="K68" s="7">
        <v>1.7638405020276179E-2</v>
      </c>
      <c r="L68" s="7">
        <v>2.285631057442114E-2</v>
      </c>
      <c r="M68" s="12">
        <f t="shared" si="0"/>
        <v>8.2072437194043057E-2</v>
      </c>
      <c r="N68" s="7">
        <v>8.8202807678380447E-3</v>
      </c>
      <c r="O68" s="7">
        <v>0.22438192177363361</v>
      </c>
      <c r="P68" s="7">
        <v>0.134066715639167</v>
      </c>
      <c r="Q68" s="7"/>
      <c r="R68" s="13">
        <f t="shared" si="1"/>
        <v>1.0000000000000009</v>
      </c>
      <c r="S68" s="7">
        <v>0</v>
      </c>
      <c r="T68" s="7">
        <v>0</v>
      </c>
      <c r="U68" s="7">
        <v>2.0844859623924241E-3</v>
      </c>
      <c r="V68" s="7">
        <v>5.8958647958150617E-2</v>
      </c>
      <c r="W68" s="7">
        <v>5.64287454959043E-4</v>
      </c>
      <c r="X68" s="7">
        <v>2.0465015818540971E-2</v>
      </c>
      <c r="Y68" s="7"/>
      <c r="Z68" s="14">
        <f>IFERROR(IF(INDEX('All GHED Countries'!$D$5:$AB$199,MATCH($B68,'All GHED Countries'!$B$5:$B$199,0),MATCH($D68,'All GHED Countries'!$D$4:$AB$4,0))="","",INDEX('All GHED Countries'!$D$5:$AB$199,MATCH($B68,'All GHED Countries'!$B$5:$B$199,0),MATCH($D68,'All GHED Countries'!$D$4:$AB$4,0))),"")</f>
        <v>0.15108494759999999</v>
      </c>
    </row>
    <row r="69" spans="1:26" x14ac:dyDescent="0.2">
      <c r="A69" s="6" t="s">
        <v>66</v>
      </c>
      <c r="B69" s="6" t="s">
        <v>67</v>
      </c>
      <c r="C69" s="6"/>
      <c r="D69" s="6" t="s">
        <v>24</v>
      </c>
      <c r="E69" s="6" t="s">
        <v>453</v>
      </c>
      <c r="F69" s="7">
        <v>0.1292324789212127</v>
      </c>
      <c r="G69" s="7">
        <v>0.14690031553876959</v>
      </c>
      <c r="H69" s="7">
        <v>3.1954994591848342E-2</v>
      </c>
      <c r="I69" s="7">
        <v>4.3700334846550087E-2</v>
      </c>
      <c r="J69" s="7">
        <v>0.1617889544303778</v>
      </c>
      <c r="K69" s="7">
        <v>1.032248858811676E-2</v>
      </c>
      <c r="L69" s="7">
        <v>2.845471327688626E-2</v>
      </c>
      <c r="M69" s="12">
        <f t="shared" ref="M69:M132" si="2">SUM(S69:Y69)</f>
        <v>8.0346028168109471E-2</v>
      </c>
      <c r="N69" s="7">
        <v>1.0548978219843441E-2</v>
      </c>
      <c r="O69" s="7">
        <v>0.2301616066005045</v>
      </c>
      <c r="P69" s="7">
        <v>0.12658910681778229</v>
      </c>
      <c r="Q69" s="7"/>
      <c r="R69" s="13">
        <f t="shared" ref="R69:R132" si="3">SUM(F69:Q69)</f>
        <v>1.0000000000000013</v>
      </c>
      <c r="S69" s="7">
        <v>0</v>
      </c>
      <c r="T69" s="7">
        <v>0</v>
      </c>
      <c r="U69" s="7">
        <v>8.1238621302536229E-3</v>
      </c>
      <c r="V69" s="7">
        <v>5.1069464124460687E-2</v>
      </c>
      <c r="W69" s="7">
        <v>8.3589522799240004E-6</v>
      </c>
      <c r="X69" s="7">
        <v>2.1144342961115239E-2</v>
      </c>
      <c r="Y69" s="7"/>
      <c r="Z69" s="14">
        <f>IFERROR(IF(INDEX('All GHED Countries'!$D$5:$AB$199,MATCH($B69,'All GHED Countries'!$B$5:$B$199,0),MATCH($D69,'All GHED Countries'!$D$4:$AB$4,0))="","",INDEX('All GHED Countries'!$D$5:$AB$199,MATCH($B69,'All GHED Countries'!$B$5:$B$199,0),MATCH($D69,'All GHED Countries'!$D$4:$AB$4,0))),"")</f>
        <v>0.15667870519999999</v>
      </c>
    </row>
    <row r="70" spans="1:26" x14ac:dyDescent="0.2">
      <c r="A70" s="6" t="s">
        <v>66</v>
      </c>
      <c r="B70" s="6" t="s">
        <v>67</v>
      </c>
      <c r="C70" s="6"/>
      <c r="D70" s="6" t="s">
        <v>25</v>
      </c>
      <c r="E70" s="6" t="s">
        <v>453</v>
      </c>
      <c r="F70" s="7">
        <v>0.1873071879962771</v>
      </c>
      <c r="G70" s="7">
        <v>0.14302735089872731</v>
      </c>
      <c r="H70" s="7">
        <v>2.9464911117920638E-2</v>
      </c>
      <c r="I70" s="7">
        <v>4.6013828447271247E-2</v>
      </c>
      <c r="J70" s="7">
        <v>0.13592707374975629</v>
      </c>
      <c r="K70" s="7">
        <v>1.1198985585676471E-2</v>
      </c>
      <c r="L70" s="7">
        <v>2.5713670875309191E-2</v>
      </c>
      <c r="M70" s="12">
        <f t="shared" si="2"/>
        <v>7.2839334321539329E-2</v>
      </c>
      <c r="N70" s="7">
        <v>9.5254982217972822E-3</v>
      </c>
      <c r="O70" s="7">
        <v>0.2158216627588615</v>
      </c>
      <c r="P70" s="7">
        <v>0.1231604960268631</v>
      </c>
      <c r="Q70" s="7"/>
      <c r="R70" s="13">
        <f t="shared" si="3"/>
        <v>0.99999999999999944</v>
      </c>
      <c r="S70" s="7">
        <v>0</v>
      </c>
      <c r="T70" s="7">
        <v>4.3942282506637001E-5</v>
      </c>
      <c r="U70" s="7">
        <v>7.3963404801642273E-3</v>
      </c>
      <c r="V70" s="7">
        <v>4.7885278403635899E-2</v>
      </c>
      <c r="W70" s="7">
        <v>5.8500951527500014E-6</v>
      </c>
      <c r="X70" s="7">
        <v>1.7507923060079811E-2</v>
      </c>
      <c r="Y70" s="7"/>
      <c r="Z70" s="14">
        <f>IFERROR(IF(INDEX('All GHED Countries'!$D$5:$AB$199,MATCH($B70,'All GHED Countries'!$B$5:$B$199,0),MATCH($D70,'All GHED Countries'!$D$4:$AB$4,0))="","",INDEX('All GHED Countries'!$D$5:$AB$199,MATCH($B70,'All GHED Countries'!$B$5:$B$199,0),MATCH($D70,'All GHED Countries'!$D$4:$AB$4,0))),"")</f>
        <v>0.14952267650000001</v>
      </c>
    </row>
    <row r="71" spans="1:26" x14ac:dyDescent="0.2">
      <c r="A71" s="6" t="s">
        <v>66</v>
      </c>
      <c r="B71" s="6" t="s">
        <v>67</v>
      </c>
      <c r="C71" s="6"/>
      <c r="D71" s="6" t="s">
        <v>26</v>
      </c>
      <c r="E71" s="6" t="s">
        <v>453</v>
      </c>
      <c r="F71" s="7">
        <v>0.1172698121733125</v>
      </c>
      <c r="G71" s="7">
        <v>0.14016010854900221</v>
      </c>
      <c r="H71" s="7">
        <v>2.7480484038737651E-2</v>
      </c>
      <c r="I71" s="7">
        <v>4.1231551825165483E-2</v>
      </c>
      <c r="J71" s="7">
        <v>0.11813478012846999</v>
      </c>
      <c r="K71" s="7">
        <v>1.008288940122491E-2</v>
      </c>
      <c r="L71" s="7">
        <v>2.3594055088624701E-2</v>
      </c>
      <c r="M71" s="12">
        <f t="shared" si="2"/>
        <v>7.2721874497610473E-2</v>
      </c>
      <c r="N71" s="7">
        <v>6.2329097422430179E-3</v>
      </c>
      <c r="O71" s="7">
        <v>0.2029568756931015</v>
      </c>
      <c r="P71" s="7">
        <v>0.2401346588625077</v>
      </c>
      <c r="Q71" s="7"/>
      <c r="R71" s="13">
        <f t="shared" si="3"/>
        <v>1.0000000000000002</v>
      </c>
      <c r="S71" s="7">
        <v>0</v>
      </c>
      <c r="T71" s="7">
        <v>3.4122013915645E-5</v>
      </c>
      <c r="U71" s="7">
        <v>7.0898455247165914E-3</v>
      </c>
      <c r="V71" s="7">
        <v>4.589867051519448E-2</v>
      </c>
      <c r="W71" s="7">
        <v>4.9748296717820002E-6</v>
      </c>
      <c r="X71" s="7">
        <v>1.9694261614111971E-2</v>
      </c>
      <c r="Y71" s="7"/>
      <c r="Z71" s="14">
        <f>IFERROR(IF(INDEX('All GHED Countries'!$D$5:$AB$199,MATCH($B71,'All GHED Countries'!$B$5:$B$199,0),MATCH($D71,'All GHED Countries'!$D$4:$AB$4,0))="","",INDEX('All GHED Countries'!$D$5:$AB$199,MATCH($B71,'All GHED Countries'!$B$5:$B$199,0),MATCH($D71,'All GHED Countries'!$D$4:$AB$4,0))),"")</f>
        <v>0.146783371</v>
      </c>
    </row>
    <row r="72" spans="1:26" x14ac:dyDescent="0.2">
      <c r="A72" s="6" t="s">
        <v>66</v>
      </c>
      <c r="B72" s="6" t="s">
        <v>67</v>
      </c>
      <c r="C72" s="6"/>
      <c r="D72" s="6" t="s">
        <v>27</v>
      </c>
      <c r="E72" s="6" t="s">
        <v>453</v>
      </c>
      <c r="F72" s="7">
        <v>8.513507776892372E-2</v>
      </c>
      <c r="G72" s="7">
        <v>0.16373684853948439</v>
      </c>
      <c r="H72" s="7">
        <v>2.8947716111617859E-2</v>
      </c>
      <c r="I72" s="7">
        <v>4.7036940078963058E-2</v>
      </c>
      <c r="J72" s="7">
        <v>0.17997012178191771</v>
      </c>
      <c r="K72" s="7">
        <v>1.42669501997892E-2</v>
      </c>
      <c r="L72" s="7">
        <v>2.0551615735939159E-2</v>
      </c>
      <c r="M72" s="12">
        <f t="shared" si="2"/>
        <v>0.10315839501606376</v>
      </c>
      <c r="N72" s="7">
        <v>7.7431943666114722E-3</v>
      </c>
      <c r="O72" s="7">
        <v>0.19069458914815959</v>
      </c>
      <c r="P72" s="7">
        <v>0.1587585512525278</v>
      </c>
      <c r="Q72" s="7"/>
      <c r="R72" s="13">
        <f t="shared" si="3"/>
        <v>0.99999999999999767</v>
      </c>
      <c r="S72" s="7">
        <v>0</v>
      </c>
      <c r="T72" s="7">
        <v>3.6365079117006012E-5</v>
      </c>
      <c r="U72" s="7">
        <v>9.2400084587545214E-3</v>
      </c>
      <c r="V72" s="7">
        <v>4.9103757065773218E-2</v>
      </c>
      <c r="W72" s="7">
        <v>4.9820723959680003E-6</v>
      </c>
      <c r="X72" s="7">
        <v>4.4773282340023049E-2</v>
      </c>
      <c r="Y72" s="7"/>
      <c r="Z72" s="14">
        <f>IFERROR(IF(INDEX('All GHED Countries'!$D$5:$AB$199,MATCH($B72,'All GHED Countries'!$B$5:$B$199,0),MATCH($D72,'All GHED Countries'!$D$4:$AB$4,0))="","",INDEX('All GHED Countries'!$D$5:$AB$199,MATCH($B72,'All GHED Countries'!$B$5:$B$199,0),MATCH($D72,'All GHED Countries'!$D$4:$AB$4,0))),"")</f>
        <v>0.18260875700000001</v>
      </c>
    </row>
    <row r="73" spans="1:26" x14ac:dyDescent="0.2">
      <c r="A73" s="6" t="s">
        <v>66</v>
      </c>
      <c r="B73" s="6" t="s">
        <v>67</v>
      </c>
      <c r="C73" s="6"/>
      <c r="D73" s="6" t="s">
        <v>28</v>
      </c>
      <c r="E73" s="6" t="s">
        <v>453</v>
      </c>
      <c r="F73" s="7">
        <v>9.8071122193995316E-2</v>
      </c>
      <c r="G73" s="7">
        <v>0.14516749598662171</v>
      </c>
      <c r="H73" s="7">
        <v>2.8946383584243639E-2</v>
      </c>
      <c r="I73" s="7">
        <v>4.0442259227743332E-2</v>
      </c>
      <c r="J73" s="7">
        <v>0.21846818610103719</v>
      </c>
      <c r="K73" s="7">
        <v>1.475953129403261E-2</v>
      </c>
      <c r="L73" s="7">
        <v>2.52969643542044E-2</v>
      </c>
      <c r="M73" s="12">
        <f t="shared" si="2"/>
        <v>7.7361778321476532E-2</v>
      </c>
      <c r="N73" s="7">
        <v>8.0405214163995226E-3</v>
      </c>
      <c r="O73" s="7">
        <v>0.1936755204675536</v>
      </c>
      <c r="P73" s="7">
        <v>0.14977023705269341</v>
      </c>
      <c r="Q73" s="7"/>
      <c r="R73" s="13">
        <f t="shared" si="3"/>
        <v>1.0000000000000011</v>
      </c>
      <c r="S73" s="7">
        <v>0</v>
      </c>
      <c r="T73" s="7">
        <v>3.7974510709229002E-5</v>
      </c>
      <c r="U73" s="7">
        <v>1.013488395422097E-2</v>
      </c>
      <c r="V73" s="7">
        <v>4.2182486836542257E-2</v>
      </c>
      <c r="W73" s="7">
        <v>6.2945935323130004E-6</v>
      </c>
      <c r="X73" s="7">
        <v>2.5000138426471769E-2</v>
      </c>
      <c r="Y73" s="7"/>
      <c r="Z73" s="14">
        <f>IFERROR(IF(INDEX('All GHED Countries'!$D$5:$AB$199,MATCH($B73,'All GHED Countries'!$B$5:$B$199,0),MATCH($D73,'All GHED Countries'!$D$4:$AB$4,0))="","",INDEX('All GHED Countries'!$D$5:$AB$199,MATCH($B73,'All GHED Countries'!$B$5:$B$199,0),MATCH($D73,'All GHED Countries'!$D$4:$AB$4,0))),"")</f>
        <v>0.152007637</v>
      </c>
    </row>
    <row r="74" spans="1:26" x14ac:dyDescent="0.2">
      <c r="A74" s="6" t="s">
        <v>66</v>
      </c>
      <c r="B74" s="6" t="s">
        <v>67</v>
      </c>
      <c r="C74" s="6"/>
      <c r="D74" s="6" t="s">
        <v>29</v>
      </c>
      <c r="E74" s="6" t="s">
        <v>453</v>
      </c>
      <c r="F74" s="7">
        <v>9.3728356770171203E-2</v>
      </c>
      <c r="G74" s="7">
        <v>0.15409780080725369</v>
      </c>
      <c r="H74" s="7">
        <v>3.2674986970728633E-2</v>
      </c>
      <c r="I74" s="7">
        <v>4.4305471077723542E-2</v>
      </c>
      <c r="J74" s="7">
        <v>0.19432711062953439</v>
      </c>
      <c r="K74" s="7">
        <v>1.4728747851750809E-2</v>
      </c>
      <c r="L74" s="7">
        <v>2.4603014724531969E-2</v>
      </c>
      <c r="M74" s="12">
        <f t="shared" si="2"/>
        <v>8.1547384895104408E-2</v>
      </c>
      <c r="N74" s="7">
        <v>9.574085373185456E-3</v>
      </c>
      <c r="O74" s="7">
        <v>0.1898854680289766</v>
      </c>
      <c r="P74" s="7">
        <v>0.16052757287103681</v>
      </c>
      <c r="Q74" s="7"/>
      <c r="R74" s="13">
        <f t="shared" si="3"/>
        <v>0.99999999999999745</v>
      </c>
      <c r="S74" s="7">
        <v>0</v>
      </c>
      <c r="T74" s="7">
        <v>4.5013131511948003E-5</v>
      </c>
      <c r="U74" s="7">
        <v>1.130525351082819E-2</v>
      </c>
      <c r="V74" s="7">
        <v>4.798972010115813E-2</v>
      </c>
      <c r="W74" s="7">
        <v>5.7461871540300001E-6</v>
      </c>
      <c r="X74" s="7">
        <v>2.2201651964452111E-2</v>
      </c>
      <c r="Y74" s="7"/>
      <c r="Z74" s="14">
        <f>IFERROR(IF(INDEX('All GHED Countries'!$D$5:$AB$199,MATCH($B74,'All GHED Countries'!$B$5:$B$199,0),MATCH($D74,'All GHED Countries'!$D$4:$AB$4,0))="","",INDEX('All GHED Countries'!$D$5:$AB$199,MATCH($B74,'All GHED Countries'!$B$5:$B$199,0),MATCH($D74,'All GHED Countries'!$D$4:$AB$4,0))),"")</f>
        <v>0.1541133881</v>
      </c>
    </row>
    <row r="75" spans="1:26" x14ac:dyDescent="0.2">
      <c r="A75" s="6" t="s">
        <v>66</v>
      </c>
      <c r="B75" s="6" t="s">
        <v>67</v>
      </c>
      <c r="C75" s="6"/>
      <c r="D75" s="6" t="s">
        <v>30</v>
      </c>
      <c r="E75" s="6" t="s">
        <v>453</v>
      </c>
      <c r="F75" s="7">
        <v>9.2848887226988003E-2</v>
      </c>
      <c r="G75" s="7">
        <v>0.16533634957075991</v>
      </c>
      <c r="H75" s="7">
        <v>3.401733258801895E-2</v>
      </c>
      <c r="I75" s="7">
        <v>4.5579021637668513E-2</v>
      </c>
      <c r="J75" s="7">
        <v>0.1957237021970995</v>
      </c>
      <c r="K75" s="7">
        <v>1.345890361905158E-2</v>
      </c>
      <c r="L75" s="7">
        <v>2.3389792127733941E-2</v>
      </c>
      <c r="M75" s="12">
        <f t="shared" si="2"/>
        <v>6.7427203584849285E-2</v>
      </c>
      <c r="N75" s="7">
        <v>9.155318415639822E-3</v>
      </c>
      <c r="O75" s="7">
        <v>0.1987896795034908</v>
      </c>
      <c r="P75" s="7">
        <v>0.1542738095287001</v>
      </c>
      <c r="Q75" s="7"/>
      <c r="R75" s="13">
        <f t="shared" si="3"/>
        <v>1.0000000000000004</v>
      </c>
      <c r="S75" s="7">
        <v>0</v>
      </c>
      <c r="T75" s="7">
        <v>1.3137258711121299E-4</v>
      </c>
      <c r="U75" s="7">
        <v>8.9900813244617843E-3</v>
      </c>
      <c r="V75" s="7">
        <v>3.7084119151071217E-2</v>
      </c>
      <c r="W75" s="7">
        <v>5.5631514732250007E-6</v>
      </c>
      <c r="X75" s="7">
        <v>2.121606737073185E-2</v>
      </c>
      <c r="Y75" s="7"/>
      <c r="Z75" s="14" t="str">
        <f>IFERROR(IF(INDEX('All GHED Countries'!$D$5:$AB$199,MATCH($B75,'All GHED Countries'!$B$5:$B$199,0),MATCH($D75,'All GHED Countries'!$D$4:$AB$4,0))="","",INDEX('All GHED Countries'!$D$5:$AB$199,MATCH($B75,'All GHED Countries'!$B$5:$B$199,0),MATCH($D75,'All GHED Countries'!$D$4:$AB$4,0))),"")</f>
        <v/>
      </c>
    </row>
    <row r="76" spans="1:26" x14ac:dyDescent="0.2">
      <c r="A76" s="6" t="s">
        <v>68</v>
      </c>
      <c r="B76" s="6" t="s">
        <v>69</v>
      </c>
      <c r="C76" s="6"/>
      <c r="D76" s="6" t="s">
        <v>11</v>
      </c>
      <c r="E76" s="6" t="s">
        <v>453</v>
      </c>
      <c r="F76" s="7">
        <v>0.115232685879906</v>
      </c>
      <c r="G76" s="7">
        <v>0.17385290227306899</v>
      </c>
      <c r="H76" s="7">
        <v>8.8724433440792699E-2</v>
      </c>
      <c r="I76" s="7">
        <v>5.3346134967339698E-2</v>
      </c>
      <c r="J76" s="7">
        <v>7.0492892875614999E-2</v>
      </c>
      <c r="K76" s="7">
        <v>2.95468425333091E-3</v>
      </c>
      <c r="L76" s="7">
        <v>3.5977625908205801E-2</v>
      </c>
      <c r="M76" s="12">
        <f t="shared" si="2"/>
        <v>4.3499185214352504E-2</v>
      </c>
      <c r="N76" s="7">
        <v>4.3786862383033788E-2</v>
      </c>
      <c r="O76" s="7">
        <v>0.15473435710445699</v>
      </c>
      <c r="P76" s="7">
        <v>0.240971581691026</v>
      </c>
      <c r="Q76" s="7"/>
      <c r="R76" s="13">
        <f t="shared" si="3"/>
        <v>1.0235733459911283</v>
      </c>
      <c r="S76" s="7"/>
      <c r="T76" s="7">
        <v>0</v>
      </c>
      <c r="U76" s="7">
        <v>2.59029317300126E-2</v>
      </c>
      <c r="V76" s="7">
        <v>1.7596253484339901E-2</v>
      </c>
      <c r="W76" s="7"/>
      <c r="X76" s="7"/>
      <c r="Y76" s="7"/>
      <c r="Z76" s="14">
        <f>IFERROR(IF(INDEX('All GHED Countries'!$D$5:$AB$199,MATCH($B76,'All GHED Countries'!$B$5:$B$199,0),MATCH($D76,'All GHED Countries'!$D$4:$AB$4,0))="","",INDEX('All GHED Countries'!$D$5:$AB$199,MATCH($B76,'All GHED Countries'!$B$5:$B$199,0),MATCH($D76,'All GHED Countries'!$D$4:$AB$4,0))),"")</f>
        <v>5.24353075E-2</v>
      </c>
    </row>
    <row r="77" spans="1:26" x14ac:dyDescent="0.2">
      <c r="A77" s="6" t="s">
        <v>68</v>
      </c>
      <c r="B77" s="6" t="s">
        <v>69</v>
      </c>
      <c r="C77" s="6"/>
      <c r="D77" s="6" t="s">
        <v>12</v>
      </c>
      <c r="E77" s="6" t="s">
        <v>453</v>
      </c>
      <c r="F77" s="7">
        <v>8.0277936122590016E-2</v>
      </c>
      <c r="G77" s="7">
        <v>0.155872154118776</v>
      </c>
      <c r="H77" s="7">
        <v>7.2544132672109699E-2</v>
      </c>
      <c r="I77" s="7">
        <v>4.7913521270919003E-2</v>
      </c>
      <c r="J77" s="7">
        <v>5.1613326218440593E-2</v>
      </c>
      <c r="K77" s="7">
        <v>1.8767654434757601E-3</v>
      </c>
      <c r="L77" s="7">
        <v>2.5560343336071201E-2</v>
      </c>
      <c r="M77" s="12">
        <f t="shared" si="2"/>
        <v>4.4006097438820696E-2</v>
      </c>
      <c r="N77" s="7">
        <v>3.4762504029445501E-2</v>
      </c>
      <c r="O77" s="7">
        <v>0.116723701152649</v>
      </c>
      <c r="P77" s="7">
        <v>0.38439543748395111</v>
      </c>
      <c r="Q77" s="7"/>
      <c r="R77" s="13">
        <f t="shared" si="3"/>
        <v>1.0155459192872485</v>
      </c>
      <c r="S77" s="7"/>
      <c r="T77" s="7">
        <v>0</v>
      </c>
      <c r="U77" s="7">
        <v>3.0135698974471999E-2</v>
      </c>
      <c r="V77" s="7">
        <v>1.3870398464348699E-2</v>
      </c>
      <c r="W77" s="7"/>
      <c r="X77" s="7"/>
      <c r="Y77" s="7"/>
      <c r="Z77" s="14">
        <f>IFERROR(IF(INDEX('All GHED Countries'!$D$5:$AB$199,MATCH($B77,'All GHED Countries'!$B$5:$B$199,0),MATCH($D77,'All GHED Countries'!$D$4:$AB$4,0))="","",INDEX('All GHED Countries'!$D$5:$AB$199,MATCH($B77,'All GHED Countries'!$B$5:$B$199,0),MATCH($D77,'All GHED Countries'!$D$4:$AB$4,0))),"")</f>
        <v>5.049946780000001E-2</v>
      </c>
    </row>
    <row r="78" spans="1:26" x14ac:dyDescent="0.2">
      <c r="A78" s="6" t="s">
        <v>68</v>
      </c>
      <c r="B78" s="6" t="s">
        <v>69</v>
      </c>
      <c r="C78" s="6"/>
      <c r="D78" s="6" t="s">
        <v>13</v>
      </c>
      <c r="E78" s="6" t="s">
        <v>453</v>
      </c>
      <c r="F78" s="7">
        <v>8.356269595818698E-2</v>
      </c>
      <c r="G78" s="7">
        <v>0.158636710089126</v>
      </c>
      <c r="H78" s="7">
        <v>7.4931860172349096E-2</v>
      </c>
      <c r="I78" s="7">
        <v>4.6530335445713299E-2</v>
      </c>
      <c r="J78" s="7">
        <v>5.8174417053792303E-2</v>
      </c>
      <c r="K78" s="7">
        <v>3.4618669915581499E-3</v>
      </c>
      <c r="L78" s="7">
        <v>3.8665876736630099E-2</v>
      </c>
      <c r="M78" s="12">
        <f t="shared" si="2"/>
        <v>4.3624541292171151E-2</v>
      </c>
      <c r="N78" s="7">
        <v>3.6495938368733202E-2</v>
      </c>
      <c r="O78" s="7">
        <v>0.11606870718918599</v>
      </c>
      <c r="P78" s="7">
        <v>0.358314271463053</v>
      </c>
      <c r="Q78" s="7"/>
      <c r="R78" s="13">
        <f t="shared" si="3"/>
        <v>1.0184672207604992</v>
      </c>
      <c r="S78" s="7"/>
      <c r="T78" s="7">
        <v>1.08705968333951E-4</v>
      </c>
      <c r="U78" s="7">
        <v>2.82593707680453E-2</v>
      </c>
      <c r="V78" s="7">
        <v>1.5256464555791899E-2</v>
      </c>
      <c r="W78" s="7"/>
      <c r="X78" s="7"/>
      <c r="Y78" s="7"/>
      <c r="Z78" s="14">
        <f>IFERROR(IF(INDEX('All GHED Countries'!$D$5:$AB$199,MATCH($B78,'All GHED Countries'!$B$5:$B$199,0),MATCH($D78,'All GHED Countries'!$D$4:$AB$4,0))="","",INDEX('All GHED Countries'!$D$5:$AB$199,MATCH($B78,'All GHED Countries'!$B$5:$B$199,0),MATCH($D78,'All GHED Countries'!$D$4:$AB$4,0))),"")</f>
        <v>5.0176458399999978E-2</v>
      </c>
    </row>
    <row r="79" spans="1:26" x14ac:dyDescent="0.2">
      <c r="A79" s="6" t="s">
        <v>68</v>
      </c>
      <c r="B79" s="6" t="s">
        <v>69</v>
      </c>
      <c r="C79" s="6"/>
      <c r="D79" s="6" t="s">
        <v>14</v>
      </c>
      <c r="E79" s="6" t="s">
        <v>453</v>
      </c>
      <c r="F79" s="7">
        <v>6.9766653982851021E-2</v>
      </c>
      <c r="G79" s="7">
        <v>0.13393415987860199</v>
      </c>
      <c r="H79" s="7">
        <v>6.5566475380426203E-2</v>
      </c>
      <c r="I79" s="7">
        <v>4.2966479801666797E-2</v>
      </c>
      <c r="J79" s="7">
        <v>6.0796963941904897E-2</v>
      </c>
      <c r="K79" s="7">
        <v>2.9817213093203299E-3</v>
      </c>
      <c r="L79" s="7">
        <v>4.5340607538633899E-2</v>
      </c>
      <c r="M79" s="12">
        <f t="shared" si="2"/>
        <v>4.3041693214821403E-2</v>
      </c>
      <c r="N79" s="7">
        <v>3.5886608519940001E-2</v>
      </c>
      <c r="O79" s="7">
        <v>0.110132057748728</v>
      </c>
      <c r="P79" s="7">
        <v>0.38958258910206001</v>
      </c>
      <c r="Q79" s="7"/>
      <c r="R79" s="13">
        <f t="shared" si="3"/>
        <v>0.99999601041895447</v>
      </c>
      <c r="S79" s="7"/>
      <c r="T79" s="7">
        <v>4.1203869815130699E-4</v>
      </c>
      <c r="U79" s="7">
        <v>2.5559479878973099E-2</v>
      </c>
      <c r="V79" s="7">
        <v>1.7070174637697E-2</v>
      </c>
      <c r="W79" s="7"/>
      <c r="X79" s="7"/>
      <c r="Y79" s="7"/>
      <c r="Z79" s="14">
        <f>IFERROR(IF(INDEX('All GHED Countries'!$D$5:$AB$199,MATCH($B79,'All GHED Countries'!$B$5:$B$199,0),MATCH($D79,'All GHED Countries'!$D$4:$AB$4,0))="","",INDEX('All GHED Countries'!$D$5:$AB$199,MATCH($B79,'All GHED Countries'!$B$5:$B$199,0),MATCH($D79,'All GHED Countries'!$D$4:$AB$4,0))),"")</f>
        <v>4.6992468799999992E-2</v>
      </c>
    </row>
    <row r="80" spans="1:26" x14ac:dyDescent="0.2">
      <c r="A80" s="6" t="s">
        <v>68</v>
      </c>
      <c r="B80" s="6" t="s">
        <v>69</v>
      </c>
      <c r="C80" s="6"/>
      <c r="D80" s="6" t="s">
        <v>15</v>
      </c>
      <c r="E80" s="6" t="s">
        <v>453</v>
      </c>
      <c r="F80" s="7">
        <v>8.4643225647938025E-2</v>
      </c>
      <c r="G80" s="7">
        <v>0.122582499612684</v>
      </c>
      <c r="H80" s="7">
        <v>6.3121928615713196E-2</v>
      </c>
      <c r="I80" s="7">
        <v>4.5301211029962402E-2</v>
      </c>
      <c r="J80" s="7">
        <v>6.4441462962968196E-2</v>
      </c>
      <c r="K80" s="7">
        <v>3.5271629367175398E-3</v>
      </c>
      <c r="L80" s="7">
        <v>5.0988376051039903E-2</v>
      </c>
      <c r="M80" s="12">
        <f t="shared" si="2"/>
        <v>4.4217007649096932E-2</v>
      </c>
      <c r="N80" s="7">
        <v>3.8681406976610599E-2</v>
      </c>
      <c r="O80" s="7">
        <v>0.111726177852498</v>
      </c>
      <c r="P80" s="7">
        <v>0.37076954066477102</v>
      </c>
      <c r="Q80" s="7"/>
      <c r="R80" s="13">
        <f t="shared" si="3"/>
        <v>1</v>
      </c>
      <c r="S80" s="7"/>
      <c r="T80" s="7">
        <v>3.8129219673332601E-4</v>
      </c>
      <c r="U80" s="7">
        <v>2.7462003153995301E-2</v>
      </c>
      <c r="V80" s="7">
        <v>1.6373712298368301E-2</v>
      </c>
      <c r="W80" s="7"/>
      <c r="X80" s="7"/>
      <c r="Y80" s="7"/>
      <c r="Z80" s="14">
        <f>IFERROR(IF(INDEX('All GHED Countries'!$D$5:$AB$199,MATCH($B80,'All GHED Countries'!$B$5:$B$199,0),MATCH($D80,'All GHED Countries'!$D$4:$AB$4,0))="","",INDEX('All GHED Countries'!$D$5:$AB$199,MATCH($B80,'All GHED Countries'!$B$5:$B$199,0),MATCH($D80,'All GHED Countries'!$D$4:$AB$4,0))),"")</f>
        <v>4.7180848100000013E-2</v>
      </c>
    </row>
    <row r="81" spans="1:26" x14ac:dyDescent="0.2">
      <c r="A81" s="6" t="s">
        <v>68</v>
      </c>
      <c r="B81" s="6" t="s">
        <v>69</v>
      </c>
      <c r="C81" s="6"/>
      <c r="D81" s="6" t="s">
        <v>16</v>
      </c>
      <c r="E81" s="6" t="s">
        <v>453</v>
      </c>
      <c r="F81" s="7">
        <v>8.2845170986645011E-2</v>
      </c>
      <c r="G81" s="7">
        <v>0.15679426698509999</v>
      </c>
      <c r="H81" s="7">
        <v>5.9993677711513101E-2</v>
      </c>
      <c r="I81" s="7">
        <v>4.6108843187582897E-2</v>
      </c>
      <c r="J81" s="7">
        <v>6.6489904757295201E-2</v>
      </c>
      <c r="K81" s="7">
        <v>3.4485209928715398E-3</v>
      </c>
      <c r="L81" s="7">
        <v>5.1279103828211187E-2</v>
      </c>
      <c r="M81" s="12">
        <f t="shared" si="2"/>
        <v>4.3716557791212245E-2</v>
      </c>
      <c r="N81" s="7">
        <v>3.74093943963551E-2</v>
      </c>
      <c r="O81" s="7">
        <v>0.113302064726319</v>
      </c>
      <c r="P81" s="7">
        <v>0.338607957109272</v>
      </c>
      <c r="Q81" s="7"/>
      <c r="R81" s="13">
        <f t="shared" si="3"/>
        <v>0.99999546247237725</v>
      </c>
      <c r="S81" s="7"/>
      <c r="T81" s="7">
        <v>4.2602342675094397E-4</v>
      </c>
      <c r="U81" s="7">
        <v>2.5818532170314601E-2</v>
      </c>
      <c r="V81" s="7">
        <v>1.7472002194146699E-2</v>
      </c>
      <c r="W81" s="7"/>
      <c r="X81" s="7"/>
      <c r="Y81" s="7"/>
      <c r="Z81" s="14">
        <f>IFERROR(IF(INDEX('All GHED Countries'!$D$5:$AB$199,MATCH($B81,'All GHED Countries'!$B$5:$B$199,0),MATCH($D81,'All GHED Countries'!$D$4:$AB$4,0))="","",INDEX('All GHED Countries'!$D$5:$AB$199,MATCH($B81,'All GHED Countries'!$B$5:$B$199,0),MATCH($D81,'All GHED Countries'!$D$4:$AB$4,0))),"")</f>
        <v>4.361563210000001E-2</v>
      </c>
    </row>
    <row r="82" spans="1:26" x14ac:dyDescent="0.2">
      <c r="A82" s="6" t="s">
        <v>68</v>
      </c>
      <c r="B82" s="6" t="s">
        <v>69</v>
      </c>
      <c r="C82" s="6"/>
      <c r="D82" s="6" t="s">
        <v>17</v>
      </c>
      <c r="E82" s="6" t="s">
        <v>453</v>
      </c>
      <c r="F82" s="7">
        <v>7.5244219692897019E-2</v>
      </c>
      <c r="G82" s="7">
        <v>0.173451348338929</v>
      </c>
      <c r="H82" s="7">
        <v>6.0701998027934599E-2</v>
      </c>
      <c r="I82" s="7">
        <v>4.7071078623442987E-2</v>
      </c>
      <c r="J82" s="7">
        <v>5.7360707835632102E-2</v>
      </c>
      <c r="K82" s="7">
        <v>2.6303290568907502E-3</v>
      </c>
      <c r="L82" s="7">
        <v>2.9078991870738601E-2</v>
      </c>
      <c r="M82" s="12">
        <f t="shared" si="2"/>
        <v>4.6060287232841599E-2</v>
      </c>
      <c r="N82" s="7">
        <v>3.4021648198712999E-2</v>
      </c>
      <c r="O82" s="7">
        <v>0.109515272149335</v>
      </c>
      <c r="P82" s="7">
        <v>0.36522959388219101</v>
      </c>
      <c r="Q82" s="7"/>
      <c r="R82" s="13">
        <f t="shared" si="3"/>
        <v>1.0003654749095456</v>
      </c>
      <c r="S82" s="7"/>
      <c r="T82" s="7">
        <v>9.9943418396539608E-4</v>
      </c>
      <c r="U82" s="7">
        <v>2.7068766296171901E-2</v>
      </c>
      <c r="V82" s="7">
        <v>1.7992086752704299E-2</v>
      </c>
      <c r="W82" s="7"/>
      <c r="X82" s="7"/>
      <c r="Y82" s="7"/>
      <c r="Z82" s="14">
        <f>IFERROR(IF(INDEX('All GHED Countries'!$D$5:$AB$199,MATCH($B82,'All GHED Countries'!$B$5:$B$199,0),MATCH($D82,'All GHED Countries'!$D$4:$AB$4,0))="","",INDEX('All GHED Countries'!$D$5:$AB$199,MATCH($B82,'All GHED Countries'!$B$5:$B$199,0),MATCH($D82,'All GHED Countries'!$D$4:$AB$4,0))),"")</f>
        <v>4.82708216E-2</v>
      </c>
    </row>
    <row r="83" spans="1:26" x14ac:dyDescent="0.2">
      <c r="A83" s="6" t="s">
        <v>68</v>
      </c>
      <c r="B83" s="6" t="s">
        <v>69</v>
      </c>
      <c r="C83" s="6"/>
      <c r="D83" s="6" t="s">
        <v>18</v>
      </c>
      <c r="E83" s="6" t="s">
        <v>453</v>
      </c>
      <c r="F83" s="7">
        <v>0.110010805116746</v>
      </c>
      <c r="G83" s="7">
        <v>0.18086177583449201</v>
      </c>
      <c r="H83" s="7">
        <v>5.0816967518812102E-2</v>
      </c>
      <c r="I83" s="7">
        <v>5.3413681059288703E-2</v>
      </c>
      <c r="J83" s="7">
        <v>5.2211176131148597E-2</v>
      </c>
      <c r="K83" s="7">
        <v>2.79616282807471E-3</v>
      </c>
      <c r="L83" s="7">
        <v>2.2260864176971502E-2</v>
      </c>
      <c r="M83" s="12">
        <f t="shared" si="2"/>
        <v>4.35535279287095E-2</v>
      </c>
      <c r="N83" s="7">
        <v>3.3879269279775102E-2</v>
      </c>
      <c r="O83" s="7">
        <v>0.109230435574007</v>
      </c>
      <c r="P83" s="7">
        <v>0.34165469325474102</v>
      </c>
      <c r="Q83" s="7"/>
      <c r="R83" s="13">
        <f t="shared" si="3"/>
        <v>1.0006893587027663</v>
      </c>
      <c r="S83" s="7"/>
      <c r="T83" s="7"/>
      <c r="U83" s="7"/>
      <c r="V83" s="7"/>
      <c r="W83" s="7"/>
      <c r="X83" s="7"/>
      <c r="Y83" s="7">
        <v>4.35535279287095E-2</v>
      </c>
      <c r="Z83" s="14">
        <f>IFERROR(IF(INDEX('All GHED Countries'!$D$5:$AB$199,MATCH($B83,'All GHED Countries'!$B$5:$B$199,0),MATCH($D83,'All GHED Countries'!$D$4:$AB$4,0))="","",INDEX('All GHED Countries'!$D$5:$AB$199,MATCH($B83,'All GHED Countries'!$B$5:$B$199,0),MATCH($D83,'All GHED Countries'!$D$4:$AB$4,0))),"")</f>
        <v>4.3854093599999998E-2</v>
      </c>
    </row>
    <row r="84" spans="1:26" x14ac:dyDescent="0.2">
      <c r="A84" s="6" t="s">
        <v>68</v>
      </c>
      <c r="B84" s="6" t="s">
        <v>69</v>
      </c>
      <c r="C84" s="6"/>
      <c r="D84" s="6" t="s">
        <v>19</v>
      </c>
      <c r="E84" s="6" t="s">
        <v>453</v>
      </c>
      <c r="F84" s="7">
        <v>7.8257143706513016E-2</v>
      </c>
      <c r="G84" s="7">
        <v>0.21174285629348699</v>
      </c>
      <c r="H84" s="7">
        <v>0.06</v>
      </c>
      <c r="I84" s="7">
        <v>0.06</v>
      </c>
      <c r="J84" s="7">
        <v>0.06</v>
      </c>
      <c r="K84" s="7">
        <v>3.0000000000000001E-3</v>
      </c>
      <c r="L84" s="7">
        <v>0.03</v>
      </c>
      <c r="M84" s="12">
        <f t="shared" si="2"/>
        <v>0.05</v>
      </c>
      <c r="N84" s="7">
        <v>0.04</v>
      </c>
      <c r="O84" s="7">
        <v>0.12</v>
      </c>
      <c r="P84" s="7">
        <v>0.28999999999999998</v>
      </c>
      <c r="Q84" s="7"/>
      <c r="R84" s="13">
        <f t="shared" si="3"/>
        <v>1.0030000000000001</v>
      </c>
      <c r="S84" s="7"/>
      <c r="T84" s="7"/>
      <c r="U84" s="7"/>
      <c r="V84" s="7"/>
      <c r="W84" s="7"/>
      <c r="X84" s="7"/>
      <c r="Y84" s="7">
        <v>0.05</v>
      </c>
      <c r="Z84" s="14">
        <f>IFERROR(IF(INDEX('All GHED Countries'!$D$5:$AB$199,MATCH($B84,'All GHED Countries'!$B$5:$B$199,0),MATCH($D84,'All GHED Countries'!$D$4:$AB$4,0))="","",INDEX('All GHED Countries'!$D$5:$AB$199,MATCH($B84,'All GHED Countries'!$B$5:$B$199,0),MATCH($D84,'All GHED Countries'!$D$4:$AB$4,0))),"")</f>
        <v>4.1566328999999999E-2</v>
      </c>
    </row>
    <row r="85" spans="1:26" x14ac:dyDescent="0.2">
      <c r="A85" s="6" t="s">
        <v>68</v>
      </c>
      <c r="B85" s="6" t="s">
        <v>69</v>
      </c>
      <c r="C85" s="6"/>
      <c r="D85" s="6" t="s">
        <v>20</v>
      </c>
      <c r="E85" s="6" t="s">
        <v>453</v>
      </c>
      <c r="F85" s="7">
        <v>7.8860898384751993E-2</v>
      </c>
      <c r="G85" s="7">
        <v>0.21113910161524799</v>
      </c>
      <c r="H85" s="7">
        <v>0.06</v>
      </c>
      <c r="I85" s="7">
        <v>0.06</v>
      </c>
      <c r="J85" s="7">
        <v>0.06</v>
      </c>
      <c r="K85" s="7">
        <v>3.0000000000000001E-3</v>
      </c>
      <c r="L85" s="7">
        <v>0.03</v>
      </c>
      <c r="M85" s="12">
        <f t="shared" si="2"/>
        <v>0.05</v>
      </c>
      <c r="N85" s="7">
        <v>0.04</v>
      </c>
      <c r="O85" s="7">
        <v>0.12</v>
      </c>
      <c r="P85" s="7">
        <v>0.28999999999999998</v>
      </c>
      <c r="Q85" s="7"/>
      <c r="R85" s="13">
        <f t="shared" si="3"/>
        <v>1.0030000000000001</v>
      </c>
      <c r="S85" s="7"/>
      <c r="T85" s="7"/>
      <c r="U85" s="7"/>
      <c r="V85" s="7"/>
      <c r="W85" s="7"/>
      <c r="X85" s="7"/>
      <c r="Y85" s="7">
        <v>0.05</v>
      </c>
      <c r="Z85" s="14">
        <f>IFERROR(IF(INDEX('All GHED Countries'!$D$5:$AB$199,MATCH($B85,'All GHED Countries'!$B$5:$B$199,0),MATCH($D85,'All GHED Countries'!$D$4:$AB$4,0))="","",INDEX('All GHED Countries'!$D$5:$AB$199,MATCH($B85,'All GHED Countries'!$B$5:$B$199,0),MATCH($D85,'All GHED Countries'!$D$4:$AB$4,0))),"")</f>
        <v>4.1614847199999999E-2</v>
      </c>
    </row>
    <row r="86" spans="1:26" x14ac:dyDescent="0.2">
      <c r="A86" s="6" t="s">
        <v>68</v>
      </c>
      <c r="B86" s="6" t="s">
        <v>69</v>
      </c>
      <c r="C86" s="6"/>
      <c r="D86" s="6" t="s">
        <v>21</v>
      </c>
      <c r="E86" s="6" t="s">
        <v>453</v>
      </c>
      <c r="F86" s="7">
        <v>6.6360002498282E-2</v>
      </c>
      <c r="G86" s="7">
        <v>0.22363999750171801</v>
      </c>
      <c r="H86" s="7">
        <v>0.06</v>
      </c>
      <c r="I86" s="7">
        <v>0.06</v>
      </c>
      <c r="J86" s="7">
        <v>0.06</v>
      </c>
      <c r="K86" s="7">
        <v>3.0000000000000001E-3</v>
      </c>
      <c r="L86" s="7">
        <v>0.03</v>
      </c>
      <c r="M86" s="12">
        <f t="shared" si="2"/>
        <v>0.05</v>
      </c>
      <c r="N86" s="7">
        <v>0.04</v>
      </c>
      <c r="O86" s="7">
        <v>0.12</v>
      </c>
      <c r="P86" s="7">
        <v>0.28999999999999998</v>
      </c>
      <c r="Q86" s="7"/>
      <c r="R86" s="13">
        <f t="shared" si="3"/>
        <v>1.0030000000000001</v>
      </c>
      <c r="S86" s="7"/>
      <c r="T86" s="7"/>
      <c r="U86" s="7"/>
      <c r="V86" s="7"/>
      <c r="W86" s="7"/>
      <c r="X86" s="7"/>
      <c r="Y86" s="7">
        <v>0.05</v>
      </c>
      <c r="Z86" s="14">
        <f>IFERROR(IF(INDEX('All GHED Countries'!$D$5:$AB$199,MATCH($B86,'All GHED Countries'!$B$5:$B$199,0),MATCH($D86,'All GHED Countries'!$D$4:$AB$4,0))="","",INDEX('All GHED Countries'!$D$5:$AB$199,MATCH($B86,'All GHED Countries'!$B$5:$B$199,0),MATCH($D86,'All GHED Countries'!$D$4:$AB$4,0))),"")</f>
        <v>5.0579767200000007E-2</v>
      </c>
    </row>
    <row r="87" spans="1:26" x14ac:dyDescent="0.2">
      <c r="A87" s="6" t="s">
        <v>70</v>
      </c>
      <c r="B87" s="6" t="s">
        <v>71</v>
      </c>
      <c r="C87" s="6"/>
      <c r="D87" s="6" t="s">
        <v>11</v>
      </c>
      <c r="E87" s="6" t="s">
        <v>453</v>
      </c>
      <c r="F87" s="7"/>
      <c r="G87" s="7"/>
      <c r="H87" s="7">
        <v>3.0988781431447381E-2</v>
      </c>
      <c r="I87" s="7">
        <v>0.11042674909378231</v>
      </c>
      <c r="J87" s="7">
        <v>0.1228552577069271</v>
      </c>
      <c r="K87" s="7">
        <v>6.021777403271495E-3</v>
      </c>
      <c r="L87" s="7">
        <v>9.8630664591483355E-2</v>
      </c>
      <c r="M87" s="12">
        <f t="shared" si="2"/>
        <v>0.15189177340489377</v>
      </c>
      <c r="N87" s="7">
        <v>6.9841619197760722E-3</v>
      </c>
      <c r="O87" s="7">
        <v>0.14083809981532691</v>
      </c>
      <c r="P87" s="7">
        <v>0.1084194899593585</v>
      </c>
      <c r="Q87" s="7">
        <v>0.22294324467373311</v>
      </c>
      <c r="R87" s="13">
        <f t="shared" si="3"/>
        <v>0.99999999999999978</v>
      </c>
      <c r="S87" s="7"/>
      <c r="T87" s="7">
        <v>1.0448746179192549E-3</v>
      </c>
      <c r="U87" s="7">
        <v>0.12920699551585729</v>
      </c>
      <c r="V87" s="7"/>
      <c r="W87" s="7"/>
      <c r="X87" s="7"/>
      <c r="Y87" s="7">
        <v>2.1639903271117231E-2</v>
      </c>
      <c r="Z87" s="14">
        <f>IFERROR(IF(INDEX('All GHED Countries'!$D$5:$AB$199,MATCH($B87,'All GHED Countries'!$B$5:$B$199,0),MATCH($D87,'All GHED Countries'!$D$4:$AB$4,0))="","",INDEX('All GHED Countries'!$D$5:$AB$199,MATCH($B87,'All GHED Countries'!$B$5:$B$199,0),MATCH($D87,'All GHED Countries'!$D$4:$AB$4,0))),"")</f>
        <v>0.1893865585</v>
      </c>
    </row>
    <row r="88" spans="1:26" x14ac:dyDescent="0.2">
      <c r="A88" s="6" t="s">
        <v>70</v>
      </c>
      <c r="B88" s="6" t="s">
        <v>71</v>
      </c>
      <c r="C88" s="6"/>
      <c r="D88" s="6" t="s">
        <v>12</v>
      </c>
      <c r="E88" s="6" t="s">
        <v>452</v>
      </c>
      <c r="F88" s="7">
        <v>0.1377265849365408</v>
      </c>
      <c r="G88" s="7">
        <v>0.15075811382515519</v>
      </c>
      <c r="H88" s="7">
        <v>3.5141895438964892E-2</v>
      </c>
      <c r="I88" s="7">
        <v>0.1244171324460365</v>
      </c>
      <c r="J88" s="7">
        <v>0.13655312972856129</v>
      </c>
      <c r="K88" s="7">
        <v>7.8745020535466136E-3</v>
      </c>
      <c r="L88" s="7">
        <v>1.457554889911373E-2</v>
      </c>
      <c r="M88" s="12">
        <f t="shared" si="2"/>
        <v>9.5018991446129158E-2</v>
      </c>
      <c r="N88" s="7">
        <v>7.2260136491368934E-3</v>
      </c>
      <c r="O88" s="7">
        <v>0.1660130315288886</v>
      </c>
      <c r="P88" s="7">
        <v>0.1246950560479264</v>
      </c>
      <c r="Q88" s="7"/>
      <c r="R88" s="13">
        <f t="shared" si="3"/>
        <v>1</v>
      </c>
      <c r="S88" s="7"/>
      <c r="T88" s="7">
        <v>4.0144520272982701E-4</v>
      </c>
      <c r="U88" s="7">
        <v>6.6763425253991288E-2</v>
      </c>
      <c r="V88" s="7">
        <v>5.2496680356977432E-3</v>
      </c>
      <c r="W88" s="7"/>
      <c r="X88" s="7"/>
      <c r="Y88" s="7">
        <v>2.2604452953710281E-2</v>
      </c>
      <c r="Z88" s="14">
        <f>IFERROR(IF(INDEX('All GHED Countries'!$D$5:$AB$199,MATCH($B88,'All GHED Countries'!$B$5:$B$199,0),MATCH($D88,'All GHED Countries'!$D$4:$AB$4,0))="","",INDEX('All GHED Countries'!$D$5:$AB$199,MATCH($B88,'All GHED Countries'!$B$5:$B$199,0),MATCH($D88,'All GHED Countries'!$D$4:$AB$4,0))),"")</f>
        <v>0.1930836487</v>
      </c>
    </row>
    <row r="89" spans="1:26" x14ac:dyDescent="0.2">
      <c r="A89" s="6" t="s">
        <v>70</v>
      </c>
      <c r="B89" s="6" t="s">
        <v>71</v>
      </c>
      <c r="C89" s="6"/>
      <c r="D89" s="6" t="s">
        <v>13</v>
      </c>
      <c r="E89" s="6" t="s">
        <v>453</v>
      </c>
      <c r="F89" s="7">
        <v>0.14288074630469871</v>
      </c>
      <c r="G89" s="7">
        <v>0.11136106556856171</v>
      </c>
      <c r="H89" s="7">
        <v>3.0147049478273031E-2</v>
      </c>
      <c r="I89" s="7">
        <v>0.1065314370686697</v>
      </c>
      <c r="J89" s="7">
        <v>7.0792186169469126E-2</v>
      </c>
      <c r="K89" s="7">
        <v>1.6014031341747049E-3</v>
      </c>
      <c r="L89" s="7">
        <v>4.7533712077884108E-2</v>
      </c>
      <c r="M89" s="12">
        <f t="shared" si="2"/>
        <v>0.1394237490626708</v>
      </c>
      <c r="N89" s="7">
        <v>7.4732146261486257E-3</v>
      </c>
      <c r="O89" s="7">
        <v>0.13754273585744969</v>
      </c>
      <c r="P89" s="7">
        <v>0.2003279063560453</v>
      </c>
      <c r="Q89" s="7"/>
      <c r="R89" s="13">
        <f t="shared" si="3"/>
        <v>0.99561520570404549</v>
      </c>
      <c r="S89" s="7"/>
      <c r="T89" s="7">
        <v>1.2709548683926199E-4</v>
      </c>
      <c r="U89" s="7">
        <v>9.5499548811021726E-2</v>
      </c>
      <c r="V89" s="7">
        <v>2.0665726160064062E-2</v>
      </c>
      <c r="W89" s="7"/>
      <c r="X89" s="7"/>
      <c r="Y89" s="7">
        <v>2.3131378604745761E-2</v>
      </c>
      <c r="Z89" s="14">
        <f>IFERROR(IF(INDEX('All GHED Countries'!$D$5:$AB$199,MATCH($B89,'All GHED Countries'!$B$5:$B$199,0),MATCH($D89,'All GHED Countries'!$D$4:$AB$4,0))="","",INDEX('All GHED Countries'!$D$5:$AB$199,MATCH($B89,'All GHED Countries'!$B$5:$B$199,0),MATCH($D89,'All GHED Countries'!$D$4:$AB$4,0))),"")</f>
        <v>0.17984247210000001</v>
      </c>
    </row>
    <row r="90" spans="1:26" x14ac:dyDescent="0.2">
      <c r="A90" s="6" t="s">
        <v>70</v>
      </c>
      <c r="B90" s="6" t="s">
        <v>71</v>
      </c>
      <c r="C90" s="6"/>
      <c r="D90" s="6" t="s">
        <v>14</v>
      </c>
      <c r="E90" s="6" t="s">
        <v>453</v>
      </c>
      <c r="F90" s="7">
        <v>0.16909760830226531</v>
      </c>
      <c r="G90" s="7">
        <v>9.7782719602328483E-2</v>
      </c>
      <c r="H90" s="7">
        <v>2.5770161554058469E-2</v>
      </c>
      <c r="I90" s="7">
        <v>0.1001155514858177</v>
      </c>
      <c r="J90" s="7">
        <v>6.9897747836134907E-2</v>
      </c>
      <c r="K90" s="7">
        <v>1.351734362395622E-3</v>
      </c>
      <c r="L90" s="7">
        <v>5.3676935487387452E-2</v>
      </c>
      <c r="M90" s="12">
        <f t="shared" si="2"/>
        <v>0.14986809688883071</v>
      </c>
      <c r="N90" s="7">
        <v>6.6714631434364579E-3</v>
      </c>
      <c r="O90" s="7">
        <v>0.13090021148102121</v>
      </c>
      <c r="P90" s="7">
        <v>0.21285455774303971</v>
      </c>
      <c r="Q90" s="7"/>
      <c r="R90" s="13">
        <f t="shared" si="3"/>
        <v>1.0179867878867159</v>
      </c>
      <c r="S90" s="7"/>
      <c r="T90" s="7">
        <v>5.4505417838533092E-4</v>
      </c>
      <c r="U90" s="7">
        <v>0.1036257003946192</v>
      </c>
      <c r="V90" s="7">
        <v>2.8713454117339259E-2</v>
      </c>
      <c r="W90" s="7"/>
      <c r="X90" s="7"/>
      <c r="Y90" s="7">
        <v>1.698388819848692E-2</v>
      </c>
      <c r="Z90" s="14">
        <f>IFERROR(IF(INDEX('All GHED Countries'!$D$5:$AB$199,MATCH($B90,'All GHED Countries'!$B$5:$B$199,0),MATCH($D90,'All GHED Countries'!$D$4:$AB$4,0))="","",INDEX('All GHED Countries'!$D$5:$AB$199,MATCH($B90,'All GHED Countries'!$B$5:$B$199,0),MATCH($D90,'All GHED Countries'!$D$4:$AB$4,0))),"")</f>
        <v>0.16658824920000001</v>
      </c>
    </row>
    <row r="91" spans="1:26" x14ac:dyDescent="0.2">
      <c r="A91" s="6" t="s">
        <v>70</v>
      </c>
      <c r="B91" s="6" t="s">
        <v>71</v>
      </c>
      <c r="C91" s="6"/>
      <c r="D91" s="6" t="s">
        <v>15</v>
      </c>
      <c r="E91" s="6" t="s">
        <v>453</v>
      </c>
      <c r="F91" s="7">
        <v>0.13120253927437819</v>
      </c>
      <c r="G91" s="7">
        <v>9.6006267829161482E-2</v>
      </c>
      <c r="H91" s="7">
        <v>2.6758809112459321E-2</v>
      </c>
      <c r="I91" s="7">
        <v>0.10504640604283021</v>
      </c>
      <c r="J91" s="7">
        <v>8.7046486399614278E-2</v>
      </c>
      <c r="K91" s="7">
        <v>5.4039937321708389E-3</v>
      </c>
      <c r="L91" s="7">
        <v>1.4303507573626899E-2</v>
      </c>
      <c r="M91" s="12">
        <f t="shared" si="2"/>
        <v>0.1491622805255334</v>
      </c>
      <c r="N91" s="7">
        <v>6.5490779059022061E-3</v>
      </c>
      <c r="O91" s="7">
        <v>0.16905058459560449</v>
      </c>
      <c r="P91" s="7">
        <v>0.20947004700871871</v>
      </c>
      <c r="Q91" s="7"/>
      <c r="R91" s="13">
        <f t="shared" si="3"/>
        <v>1</v>
      </c>
      <c r="S91" s="7"/>
      <c r="T91" s="7"/>
      <c r="U91" s="7"/>
      <c r="V91" s="7"/>
      <c r="W91" s="7"/>
      <c r="X91" s="7"/>
      <c r="Y91" s="7">
        <v>0.1491622805255334</v>
      </c>
      <c r="Z91" s="14">
        <f>IFERROR(IF(INDEX('All GHED Countries'!$D$5:$AB$199,MATCH($B91,'All GHED Countries'!$B$5:$B$199,0),MATCH($D91,'All GHED Countries'!$D$4:$AB$4,0))="","",INDEX('All GHED Countries'!$D$5:$AB$199,MATCH($B91,'All GHED Countries'!$B$5:$B$199,0),MATCH($D91,'All GHED Countries'!$D$4:$AB$4,0))),"")</f>
        <v>0.15814736369999999</v>
      </c>
    </row>
    <row r="92" spans="1:26" x14ac:dyDescent="0.2">
      <c r="A92" s="6" t="s">
        <v>70</v>
      </c>
      <c r="B92" s="6" t="s">
        <v>71</v>
      </c>
      <c r="C92" s="6"/>
      <c r="D92" s="6" t="s">
        <v>16</v>
      </c>
      <c r="E92" s="6" t="s">
        <v>453</v>
      </c>
      <c r="F92" s="7">
        <v>0.15440299428289389</v>
      </c>
      <c r="G92" s="7">
        <v>0.102887344219142</v>
      </c>
      <c r="H92" s="7">
        <v>2.9428700695101392E-2</v>
      </c>
      <c r="I92" s="7">
        <v>0.1165425903837453</v>
      </c>
      <c r="J92" s="7">
        <v>7.9628182453831284E-2</v>
      </c>
      <c r="K92" s="7">
        <v>7.4240118455147453E-3</v>
      </c>
      <c r="L92" s="7">
        <v>1.069386747830379E-2</v>
      </c>
      <c r="M92" s="12">
        <f t="shared" si="2"/>
        <v>0.13595607288281988</v>
      </c>
      <c r="N92" s="7">
        <v>6.4368856167482426E-3</v>
      </c>
      <c r="O92" s="7">
        <v>0.1547114712293835</v>
      </c>
      <c r="P92" s="7">
        <v>0.20188787891251589</v>
      </c>
      <c r="Q92" s="7"/>
      <c r="R92" s="13">
        <f t="shared" si="3"/>
        <v>0.99999999999999989</v>
      </c>
      <c r="S92" s="7"/>
      <c r="T92" s="7">
        <v>0</v>
      </c>
      <c r="U92" s="7">
        <v>7.3273557356146921E-2</v>
      </c>
      <c r="V92" s="7">
        <v>3.8292271624233952E-2</v>
      </c>
      <c r="W92" s="7"/>
      <c r="X92" s="7"/>
      <c r="Y92" s="7">
        <v>2.4390243902439029E-2</v>
      </c>
      <c r="Z92" s="14">
        <f>IFERROR(IF(INDEX('All GHED Countries'!$D$5:$AB$199,MATCH($B92,'All GHED Countries'!$B$5:$B$199,0),MATCH($D92,'All GHED Countries'!$D$4:$AB$4,0))="","",INDEX('All GHED Countries'!$D$5:$AB$199,MATCH($B92,'All GHED Countries'!$B$5:$B$199,0),MATCH($D92,'All GHED Countries'!$D$4:$AB$4,0))),"")</f>
        <v>0.17085517880000001</v>
      </c>
    </row>
    <row r="93" spans="1:26" x14ac:dyDescent="0.2">
      <c r="A93" s="6" t="s">
        <v>70</v>
      </c>
      <c r="B93" s="6" t="s">
        <v>71</v>
      </c>
      <c r="C93" s="6"/>
      <c r="D93" s="6" t="s">
        <v>17</v>
      </c>
      <c r="E93" s="6" t="s">
        <v>453</v>
      </c>
      <c r="F93" s="7">
        <v>0.2197480286927079</v>
      </c>
      <c r="G93" s="7">
        <v>9.3891210062549482E-2</v>
      </c>
      <c r="H93" s="7">
        <v>2.8078618963885311E-2</v>
      </c>
      <c r="I93" s="7">
        <v>0.1033158286907562</v>
      </c>
      <c r="J93" s="7">
        <v>6.7658467440158535E-2</v>
      </c>
      <c r="K93" s="7">
        <v>3.1770371646874019E-3</v>
      </c>
      <c r="L93" s="7">
        <v>3.0421462012705069E-2</v>
      </c>
      <c r="M93" s="12">
        <f t="shared" si="2"/>
        <v>0.15565707225870681</v>
      </c>
      <c r="N93" s="7">
        <v>9.0163959757608957E-3</v>
      </c>
      <c r="O93" s="7">
        <v>0.1253421031118572</v>
      </c>
      <c r="P93" s="7">
        <v>0.16265010378321429</v>
      </c>
      <c r="Q93" s="7"/>
      <c r="R93" s="13">
        <f t="shared" si="3"/>
        <v>0.99895632815698931</v>
      </c>
      <c r="S93" s="7"/>
      <c r="T93" s="7"/>
      <c r="U93" s="7"/>
      <c r="V93" s="7"/>
      <c r="W93" s="7"/>
      <c r="X93" s="7"/>
      <c r="Y93" s="7">
        <v>0.15565707225870681</v>
      </c>
      <c r="Z93" s="14">
        <f>IFERROR(IF(INDEX('All GHED Countries'!$D$5:$AB$199,MATCH($B93,'All GHED Countries'!$B$5:$B$199,0),MATCH($D93,'All GHED Countries'!$D$4:$AB$4,0))="","",INDEX('All GHED Countries'!$D$5:$AB$199,MATCH($B93,'All GHED Countries'!$B$5:$B$199,0),MATCH($D93,'All GHED Countries'!$D$4:$AB$4,0))),"")</f>
        <v>0.18986028669999999</v>
      </c>
    </row>
    <row r="94" spans="1:26" x14ac:dyDescent="0.2">
      <c r="A94" s="6" t="s">
        <v>70</v>
      </c>
      <c r="B94" s="6" t="s">
        <v>71</v>
      </c>
      <c r="C94" s="6"/>
      <c r="D94" s="6" t="s">
        <v>18</v>
      </c>
      <c r="E94" s="6" t="s">
        <v>453</v>
      </c>
      <c r="F94" s="7">
        <v>0.3640586506162502</v>
      </c>
      <c r="G94" s="7">
        <v>9.7277892965570545E-2</v>
      </c>
      <c r="H94" s="7">
        <v>3.0222127559846872E-2</v>
      </c>
      <c r="I94" s="7">
        <v>9.8808745717321039E-2</v>
      </c>
      <c r="J94" s="7">
        <v>0.1183159341232623</v>
      </c>
      <c r="K94" s="7">
        <v>5.5558745243060254E-3</v>
      </c>
      <c r="L94" s="7"/>
      <c r="M94" s="12">
        <f t="shared" si="2"/>
        <v>0.13005585485551491</v>
      </c>
      <c r="N94" s="7">
        <v>5.5176336658502171E-3</v>
      </c>
      <c r="O94" s="7">
        <v>0.16004870815464581</v>
      </c>
      <c r="P94" s="7"/>
      <c r="Q94" s="7"/>
      <c r="R94" s="13">
        <f t="shared" si="3"/>
        <v>1.0098614221825679</v>
      </c>
      <c r="S94" s="7"/>
      <c r="T94" s="7">
        <v>1.718499993302101E-3</v>
      </c>
      <c r="U94" s="7">
        <v>6.4349677804106151E-2</v>
      </c>
      <c r="V94" s="7">
        <v>6.3105507280782791E-2</v>
      </c>
      <c r="W94" s="7">
        <v>0</v>
      </c>
      <c r="X94" s="7">
        <v>0</v>
      </c>
      <c r="Y94" s="7">
        <v>8.82169777323866E-4</v>
      </c>
      <c r="Z94" s="14">
        <f>IFERROR(IF(INDEX('All GHED Countries'!$D$5:$AB$199,MATCH($B94,'All GHED Countries'!$B$5:$B$199,0),MATCH($D94,'All GHED Countries'!$D$4:$AB$4,0))="","",INDEX('All GHED Countries'!$D$5:$AB$199,MATCH($B94,'All GHED Countries'!$B$5:$B$199,0),MATCH($D94,'All GHED Countries'!$D$4:$AB$4,0))),"")</f>
        <v>0.16267700199999999</v>
      </c>
    </row>
    <row r="95" spans="1:26" x14ac:dyDescent="0.2">
      <c r="A95" s="6" t="s">
        <v>70</v>
      </c>
      <c r="B95" s="6" t="s">
        <v>71</v>
      </c>
      <c r="C95" s="6"/>
      <c r="D95" s="6" t="s">
        <v>19</v>
      </c>
      <c r="E95" s="6" t="s">
        <v>453</v>
      </c>
      <c r="F95" s="7">
        <v>0.34142515068945578</v>
      </c>
      <c r="G95" s="7">
        <v>9.3369663941871045E-2</v>
      </c>
      <c r="H95" s="7">
        <v>2.6868136404921149E-2</v>
      </c>
      <c r="I95" s="7">
        <v>9.1404508298241274E-2</v>
      </c>
      <c r="J95" s="7">
        <v>0.10659730823218561</v>
      </c>
      <c r="K95" s="7">
        <v>4.888118239616877E-3</v>
      </c>
      <c r="L95" s="7"/>
      <c r="M95" s="12">
        <f t="shared" si="2"/>
        <v>0.1179258525307572</v>
      </c>
      <c r="N95" s="7">
        <v>5.0037156304186276E-3</v>
      </c>
      <c r="O95" s="7">
        <v>0.14030220460738169</v>
      </c>
      <c r="P95" s="7"/>
      <c r="Q95" s="7">
        <v>7.2215341425150681E-2</v>
      </c>
      <c r="R95" s="13">
        <f t="shared" si="3"/>
        <v>1</v>
      </c>
      <c r="S95" s="7"/>
      <c r="T95" s="7">
        <v>6.7046486665015281E-3</v>
      </c>
      <c r="U95" s="7">
        <v>7.2347452728924122E-2</v>
      </c>
      <c r="V95" s="7">
        <v>3.3605812897366028E-2</v>
      </c>
      <c r="W95" s="7"/>
      <c r="X95" s="7"/>
      <c r="Y95" s="7">
        <v>5.2679382379655238E-3</v>
      </c>
      <c r="Z95" s="14">
        <f>IFERROR(IF(INDEX('All GHED Countries'!$D$5:$AB$199,MATCH($B95,'All GHED Countries'!$B$5:$B$199,0),MATCH($D95,'All GHED Countries'!$D$4:$AB$4,0))="","",INDEX('All GHED Countries'!$D$5:$AB$199,MATCH($B95,'All GHED Countries'!$B$5:$B$199,0),MATCH($D95,'All GHED Countries'!$D$4:$AB$4,0))),"")</f>
        <v>0.1671699905</v>
      </c>
    </row>
    <row r="96" spans="1:26" x14ac:dyDescent="0.2">
      <c r="A96" s="6" t="s">
        <v>70</v>
      </c>
      <c r="B96" s="6" t="s">
        <v>71</v>
      </c>
      <c r="C96" s="6"/>
      <c r="D96" s="6" t="s">
        <v>20</v>
      </c>
      <c r="E96" s="6" t="s">
        <v>453</v>
      </c>
      <c r="F96" s="7">
        <v>0.2454177400331394</v>
      </c>
      <c r="G96" s="7">
        <v>0.1108864382569765</v>
      </c>
      <c r="H96" s="7">
        <v>2.856226048712689E-2</v>
      </c>
      <c r="I96" s="7">
        <v>0.10970346268805629</v>
      </c>
      <c r="J96" s="7">
        <v>8.7080062460752714E-2</v>
      </c>
      <c r="K96" s="7">
        <v>5.9911082972997874E-3</v>
      </c>
      <c r="L96" s="7">
        <v>1.27136891192699E-2</v>
      </c>
      <c r="M96" s="12">
        <f t="shared" si="2"/>
        <v>9.2513858358303669E-2</v>
      </c>
      <c r="N96" s="7">
        <v>2.8736420612048398E-3</v>
      </c>
      <c r="O96" s="7">
        <v>0.15580364775477881</v>
      </c>
      <c r="P96" s="7">
        <v>0.14845409048309119</v>
      </c>
      <c r="Q96" s="7"/>
      <c r="R96" s="13">
        <f t="shared" si="3"/>
        <v>1</v>
      </c>
      <c r="S96" s="7">
        <v>2.2118335865031189E-3</v>
      </c>
      <c r="T96" s="7">
        <v>9.3523987082848436E-3</v>
      </c>
      <c r="U96" s="7">
        <v>2.4678489701377319E-2</v>
      </c>
      <c r="V96" s="7">
        <v>5.3310414238472797E-2</v>
      </c>
      <c r="W96" s="7">
        <v>3.3090423735086002E-4</v>
      </c>
      <c r="X96" s="7">
        <v>2.6298178863147321E-3</v>
      </c>
      <c r="Y96" s="7"/>
      <c r="Z96" s="14">
        <f>IFERROR(IF(INDEX('All GHED Countries'!$D$5:$AB$199,MATCH($B96,'All GHED Countries'!$B$5:$B$199,0),MATCH($D96,'All GHED Countries'!$D$4:$AB$4,0))="","",INDEX('All GHED Countries'!$D$5:$AB$199,MATCH($B96,'All GHED Countries'!$B$5:$B$199,0),MATCH($D96,'All GHED Countries'!$D$4:$AB$4,0))),"")</f>
        <v>0.16978040699999999</v>
      </c>
    </row>
    <row r="97" spans="1:26" x14ac:dyDescent="0.2">
      <c r="A97" s="6" t="s">
        <v>70</v>
      </c>
      <c r="B97" s="6" t="s">
        <v>71</v>
      </c>
      <c r="C97" s="6"/>
      <c r="D97" s="6" t="s">
        <v>21</v>
      </c>
      <c r="E97" s="6" t="s">
        <v>453</v>
      </c>
      <c r="F97" s="7">
        <v>0.1225047656727692</v>
      </c>
      <c r="G97" s="7">
        <v>0.10934071862748621</v>
      </c>
      <c r="H97" s="7">
        <v>2.949322015609826E-2</v>
      </c>
      <c r="I97" s="7">
        <v>0.1226666187102111</v>
      </c>
      <c r="J97" s="7">
        <v>0.1504693738085818</v>
      </c>
      <c r="K97" s="7">
        <v>6.1324317519692124E-3</v>
      </c>
      <c r="L97" s="7">
        <v>2.521310649929864E-2</v>
      </c>
      <c r="M97" s="12">
        <f t="shared" si="2"/>
        <v>0.16327374743732689</v>
      </c>
      <c r="N97" s="7">
        <v>4.0463259360500672E-3</v>
      </c>
      <c r="O97" s="7">
        <v>0.17213969715498331</v>
      </c>
      <c r="P97" s="7">
        <v>9.471999424522537E-2</v>
      </c>
      <c r="Q97" s="7"/>
      <c r="R97" s="13">
        <f t="shared" si="3"/>
        <v>1</v>
      </c>
      <c r="S97" s="7">
        <v>4.7297054274718564E-3</v>
      </c>
      <c r="T97" s="7">
        <v>3.6398949753623698E-2</v>
      </c>
      <c r="U97" s="7">
        <v>6.2079631694421468E-2</v>
      </c>
      <c r="V97" s="7">
        <v>5.9004423983023413E-2</v>
      </c>
      <c r="W97" s="7">
        <v>0</v>
      </c>
      <c r="X97" s="7">
        <v>1.0610365787864619E-3</v>
      </c>
      <c r="Y97" s="7"/>
      <c r="Z97" s="14">
        <f>IFERROR(IF(INDEX('All GHED Countries'!$D$5:$AB$199,MATCH($B97,'All GHED Countries'!$B$5:$B$199,0),MATCH($D97,'All GHED Countries'!$D$4:$AB$4,0))="","",INDEX('All GHED Countries'!$D$5:$AB$199,MATCH($B97,'All GHED Countries'!$B$5:$B$199,0),MATCH($D97,'All GHED Countries'!$D$4:$AB$4,0))),"")</f>
        <v>0.1773853302</v>
      </c>
    </row>
    <row r="98" spans="1:26" x14ac:dyDescent="0.2">
      <c r="A98" s="6" t="s">
        <v>70</v>
      </c>
      <c r="B98" s="6" t="s">
        <v>71</v>
      </c>
      <c r="C98" s="6"/>
      <c r="D98" s="6" t="s">
        <v>22</v>
      </c>
      <c r="E98" s="6" t="s">
        <v>453</v>
      </c>
      <c r="F98" s="7">
        <v>0.116223596762519</v>
      </c>
      <c r="G98" s="7">
        <v>0.1074554188326643</v>
      </c>
      <c r="H98" s="7">
        <v>2.184641705599789E-2</v>
      </c>
      <c r="I98" s="7">
        <v>0.1183292755149043</v>
      </c>
      <c r="J98" s="7">
        <v>0.1196946765809041</v>
      </c>
      <c r="K98" s="7">
        <v>6.613147331710206E-3</v>
      </c>
      <c r="L98" s="7">
        <v>8.4391656247943675E-3</v>
      </c>
      <c r="M98" s="12">
        <f t="shared" si="2"/>
        <v>0.15164177140225044</v>
      </c>
      <c r="N98" s="7">
        <v>5.2477462657103376E-3</v>
      </c>
      <c r="O98" s="7">
        <v>0.1616272948608278</v>
      </c>
      <c r="P98" s="7">
        <v>0.18288148976771729</v>
      </c>
      <c r="Q98" s="7"/>
      <c r="R98" s="13">
        <f t="shared" si="3"/>
        <v>1</v>
      </c>
      <c r="S98" s="7">
        <v>2.303086135421465E-3</v>
      </c>
      <c r="T98" s="7">
        <v>3.010462591300915E-2</v>
      </c>
      <c r="U98" s="7">
        <v>6.5522800552740665E-2</v>
      </c>
      <c r="V98" s="7">
        <v>5.3102586036717768E-2</v>
      </c>
      <c r="W98" s="7">
        <v>0</v>
      </c>
      <c r="X98" s="7">
        <v>6.08672764361387E-4</v>
      </c>
      <c r="Y98" s="7"/>
      <c r="Z98" s="14">
        <f>IFERROR(IF(INDEX('All GHED Countries'!$D$5:$AB$199,MATCH($B98,'All GHED Countries'!$B$5:$B$199,0),MATCH($D98,'All GHED Countries'!$D$4:$AB$4,0))="","",INDEX('All GHED Countries'!$D$5:$AB$199,MATCH($B98,'All GHED Countries'!$B$5:$B$199,0),MATCH($D98,'All GHED Countries'!$D$4:$AB$4,0))),"")</f>
        <v>0.1765205383</v>
      </c>
    </row>
    <row r="99" spans="1:26" x14ac:dyDescent="0.2">
      <c r="A99" s="6" t="s">
        <v>70</v>
      </c>
      <c r="B99" s="6" t="s">
        <v>71</v>
      </c>
      <c r="C99" s="6"/>
      <c r="D99" s="6" t="s">
        <v>23</v>
      </c>
      <c r="E99" s="6" t="s">
        <v>453</v>
      </c>
      <c r="F99" s="7">
        <v>0.17563117453347971</v>
      </c>
      <c r="G99" s="7">
        <v>0.1093096389473996</v>
      </c>
      <c r="H99" s="7">
        <v>2.489097220161984E-2</v>
      </c>
      <c r="I99" s="7">
        <v>0.12187379476073219</v>
      </c>
      <c r="J99" s="7">
        <v>0.1359361556946628</v>
      </c>
      <c r="K99" s="7">
        <v>5.4736404901059134E-3</v>
      </c>
      <c r="L99" s="7">
        <v>1.293499866496573E-2</v>
      </c>
      <c r="M99" s="12">
        <f t="shared" si="2"/>
        <v>0.14149879846916072</v>
      </c>
      <c r="N99" s="7">
        <v>4.9841279259500992E-3</v>
      </c>
      <c r="O99" s="7">
        <v>8.5976206722639198E-2</v>
      </c>
      <c r="P99" s="7">
        <v>0.1814904915892841</v>
      </c>
      <c r="Q99" s="7"/>
      <c r="R99" s="13">
        <f t="shared" si="3"/>
        <v>0.99999999999999989</v>
      </c>
      <c r="S99" s="7">
        <v>2.0618862550805471E-3</v>
      </c>
      <c r="T99" s="7">
        <v>2.880707271486635E-2</v>
      </c>
      <c r="U99" s="7">
        <v>5.549292431839084E-2</v>
      </c>
      <c r="V99" s="7">
        <v>5.3846382057139472E-2</v>
      </c>
      <c r="W99" s="7">
        <v>1.4833714065326999E-5</v>
      </c>
      <c r="X99" s="7">
        <v>1.27569940961818E-3</v>
      </c>
      <c r="Y99" s="7"/>
      <c r="Z99" s="14">
        <f>IFERROR(IF(INDEX('All GHED Countries'!$D$5:$AB$199,MATCH($B99,'All GHED Countries'!$B$5:$B$199,0),MATCH($D99,'All GHED Countries'!$D$4:$AB$4,0))="","",INDEX('All GHED Countries'!$D$5:$AB$199,MATCH($B99,'All GHED Countries'!$B$5:$B$199,0),MATCH($D99,'All GHED Countries'!$D$4:$AB$4,0))),"")</f>
        <v>0.1631419945</v>
      </c>
    </row>
    <row r="100" spans="1:26" x14ac:dyDescent="0.2">
      <c r="A100" s="6" t="s">
        <v>70</v>
      </c>
      <c r="B100" s="6" t="s">
        <v>71</v>
      </c>
      <c r="C100" s="6"/>
      <c r="D100" s="6" t="s">
        <v>24</v>
      </c>
      <c r="E100" s="6" t="s">
        <v>453</v>
      </c>
      <c r="F100" s="7">
        <v>0.16289501970619849</v>
      </c>
      <c r="G100" s="7">
        <v>0.11177355786456469</v>
      </c>
      <c r="H100" s="7">
        <v>2.2816194912217841E-2</v>
      </c>
      <c r="I100" s="7">
        <v>0.114969544965962</v>
      </c>
      <c r="J100" s="7">
        <v>0.10677176639197419</v>
      </c>
      <c r="K100" s="7">
        <v>3.3249731279111432E-3</v>
      </c>
      <c r="L100" s="7">
        <v>1.0447868147617339E-2</v>
      </c>
      <c r="M100" s="12">
        <f t="shared" si="2"/>
        <v>0.15018273020422787</v>
      </c>
      <c r="N100" s="7">
        <v>5.7900394123969901E-3</v>
      </c>
      <c r="O100" s="7">
        <v>0.14784664994625579</v>
      </c>
      <c r="P100" s="7">
        <v>0.16318165532067361</v>
      </c>
      <c r="Q100" s="7"/>
      <c r="R100" s="13">
        <f t="shared" si="3"/>
        <v>0.99999999999999989</v>
      </c>
      <c r="S100" s="7">
        <v>1.0892153350053741E-3</v>
      </c>
      <c r="T100" s="7">
        <v>3.1701898960945898E-2</v>
      </c>
      <c r="U100" s="7">
        <v>5.585094948047295E-2</v>
      </c>
      <c r="V100" s="7">
        <v>4.689358652812612E-2</v>
      </c>
      <c r="W100" s="7">
        <v>0</v>
      </c>
      <c r="X100" s="7">
        <v>1.4647079899677531E-2</v>
      </c>
      <c r="Y100" s="7"/>
      <c r="Z100" s="14">
        <f>IFERROR(IF(INDEX('All GHED Countries'!$D$5:$AB$199,MATCH($B100,'All GHED Countries'!$B$5:$B$199,0),MATCH($D100,'All GHED Countries'!$D$4:$AB$4,0))="","",INDEX('All GHED Countries'!$D$5:$AB$199,MATCH($B100,'All GHED Countries'!$B$5:$B$199,0),MATCH($D100,'All GHED Countries'!$D$4:$AB$4,0))),"")</f>
        <v>0.1646056175</v>
      </c>
    </row>
    <row r="101" spans="1:26" x14ac:dyDescent="0.2">
      <c r="A101" s="6" t="s">
        <v>70</v>
      </c>
      <c r="B101" s="6" t="s">
        <v>71</v>
      </c>
      <c r="C101" s="6"/>
      <c r="D101" s="6" t="s">
        <v>25</v>
      </c>
      <c r="E101" s="6" t="s">
        <v>453</v>
      </c>
      <c r="F101" s="7">
        <v>0.1494041771665314</v>
      </c>
      <c r="G101" s="7">
        <v>0.11617477469781751</v>
      </c>
      <c r="H101" s="7">
        <v>2.5043067241845698E-2</v>
      </c>
      <c r="I101" s="7">
        <v>0.1167727330969974</v>
      </c>
      <c r="J101" s="7">
        <v>0.1106934893720013</v>
      </c>
      <c r="K101" s="7">
        <v>3.8582553851848689E-3</v>
      </c>
      <c r="L101" s="7">
        <v>8.0297270747020887E-3</v>
      </c>
      <c r="M101" s="12">
        <f t="shared" si="2"/>
        <v>0.15356141175130625</v>
      </c>
      <c r="N101" s="7">
        <v>5.3246771736499667E-3</v>
      </c>
      <c r="O101" s="7">
        <v>0.14331069633679289</v>
      </c>
      <c r="P101" s="7">
        <v>0.16782699070317059</v>
      </c>
      <c r="Q101" s="7"/>
      <c r="R101" s="13">
        <f t="shared" si="3"/>
        <v>1</v>
      </c>
      <c r="S101" s="7">
        <v>1.082019960420849E-3</v>
      </c>
      <c r="T101" s="7">
        <v>3.3756175344182009E-2</v>
      </c>
      <c r="U101" s="7">
        <v>5.97816028132519E-2</v>
      </c>
      <c r="V101" s="7">
        <v>4.6555332507581267E-2</v>
      </c>
      <c r="W101" s="7">
        <v>0</v>
      </c>
      <c r="X101" s="7">
        <v>1.238628112587024E-2</v>
      </c>
      <c r="Y101" s="7"/>
      <c r="Z101" s="14">
        <f>IFERROR(IF(INDEX('All GHED Countries'!$D$5:$AB$199,MATCH($B101,'All GHED Countries'!$B$5:$B$199,0),MATCH($D101,'All GHED Countries'!$D$4:$AB$4,0))="","",INDEX('All GHED Countries'!$D$5:$AB$199,MATCH($B101,'All GHED Countries'!$B$5:$B$199,0),MATCH($D101,'All GHED Countries'!$D$4:$AB$4,0))),"")</f>
        <v>0.16971138</v>
      </c>
    </row>
    <row r="102" spans="1:26" x14ac:dyDescent="0.2">
      <c r="A102" s="6" t="s">
        <v>70</v>
      </c>
      <c r="B102" s="6" t="s">
        <v>71</v>
      </c>
      <c r="C102" s="6"/>
      <c r="D102" s="6" t="s">
        <v>26</v>
      </c>
      <c r="E102" s="6" t="s">
        <v>453</v>
      </c>
      <c r="F102" s="7">
        <v>0.2505367257445642</v>
      </c>
      <c r="G102" s="7">
        <v>9.2522382605518011E-2</v>
      </c>
      <c r="H102" s="7">
        <v>2.4221176685547231E-2</v>
      </c>
      <c r="I102" s="7">
        <v>9.3527315914489331E-2</v>
      </c>
      <c r="J102" s="7">
        <v>0.10943495340763749</v>
      </c>
      <c r="K102" s="7">
        <v>4.739174127535173E-3</v>
      </c>
      <c r="L102" s="7">
        <v>1.8819660149826421E-2</v>
      </c>
      <c r="M102" s="12">
        <f t="shared" si="2"/>
        <v>0.13995980266764113</v>
      </c>
      <c r="N102" s="7">
        <v>4.1796089895852371E-3</v>
      </c>
      <c r="O102" s="7">
        <v>0.11868490772885069</v>
      </c>
      <c r="P102" s="7">
        <v>0.143374291978805</v>
      </c>
      <c r="Q102" s="7"/>
      <c r="R102" s="13">
        <f t="shared" si="3"/>
        <v>1</v>
      </c>
      <c r="S102" s="7">
        <v>7.8795907180705203E-4</v>
      </c>
      <c r="T102" s="7">
        <v>2.223414946099032E-2</v>
      </c>
      <c r="U102" s="7">
        <v>5.2507765393751127E-2</v>
      </c>
      <c r="V102" s="7">
        <v>5.4597569888543758E-2</v>
      </c>
      <c r="W102" s="7">
        <v>0</v>
      </c>
      <c r="X102" s="7">
        <v>9.8323588525488764E-3</v>
      </c>
      <c r="Y102" s="7"/>
      <c r="Z102" s="14">
        <f>IFERROR(IF(INDEX('All GHED Countries'!$D$5:$AB$199,MATCH($B102,'All GHED Countries'!$B$5:$B$199,0),MATCH($D102,'All GHED Countries'!$D$4:$AB$4,0))="","",INDEX('All GHED Countries'!$D$5:$AB$199,MATCH($B102,'All GHED Countries'!$B$5:$B$199,0),MATCH($D102,'All GHED Countries'!$D$4:$AB$4,0))),"")</f>
        <v>0.17724639889999999</v>
      </c>
    </row>
    <row r="103" spans="1:26" x14ac:dyDescent="0.2">
      <c r="A103" s="6" t="s">
        <v>70</v>
      </c>
      <c r="B103" s="6" t="s">
        <v>71</v>
      </c>
      <c r="C103" s="6"/>
      <c r="D103" s="6" t="s">
        <v>27</v>
      </c>
      <c r="E103" s="6" t="s">
        <v>453</v>
      </c>
      <c r="F103" s="7">
        <v>0.10143215709434519</v>
      </c>
      <c r="G103" s="7">
        <v>0.1068001096791884</v>
      </c>
      <c r="H103" s="7">
        <v>2.7894370504735189E-2</v>
      </c>
      <c r="I103" s="7">
        <v>0.10325662820864361</v>
      </c>
      <c r="J103" s="7">
        <v>0.1209002130307313</v>
      </c>
      <c r="K103" s="7">
        <v>4.9566556284406571E-3</v>
      </c>
      <c r="L103" s="7">
        <v>2.4973107506696759E-2</v>
      </c>
      <c r="M103" s="12">
        <f t="shared" si="2"/>
        <v>0.16228301449030816</v>
      </c>
      <c r="N103" s="7">
        <v>5.3890447364535656E-3</v>
      </c>
      <c r="O103" s="7">
        <v>0.1196135917824977</v>
      </c>
      <c r="P103" s="7">
        <v>0.2225011073379595</v>
      </c>
      <c r="Q103" s="7"/>
      <c r="R103" s="13">
        <f t="shared" si="3"/>
        <v>1</v>
      </c>
      <c r="S103" s="7">
        <v>3.7438569108434751E-3</v>
      </c>
      <c r="T103" s="7">
        <v>1.9098943283204321E-2</v>
      </c>
      <c r="U103" s="7">
        <v>5.5240345067600352E-2</v>
      </c>
      <c r="V103" s="7">
        <v>7.187150661238953E-2</v>
      </c>
      <c r="W103" s="7">
        <v>0</v>
      </c>
      <c r="X103" s="7">
        <v>1.232836261627049E-2</v>
      </c>
      <c r="Y103" s="7"/>
      <c r="Z103" s="14">
        <f>IFERROR(IF(INDEX('All GHED Countries'!$D$5:$AB$199,MATCH($B103,'All GHED Countries'!$B$5:$B$199,0),MATCH($D103,'All GHED Countries'!$D$4:$AB$4,0))="","",INDEX('All GHED Countries'!$D$5:$AB$199,MATCH($B103,'All GHED Countries'!$B$5:$B$199,0),MATCH($D103,'All GHED Countries'!$D$4:$AB$4,0))),"")</f>
        <v>0.20650449749999999</v>
      </c>
    </row>
    <row r="104" spans="1:26" x14ac:dyDescent="0.2">
      <c r="A104" s="6" t="s">
        <v>70</v>
      </c>
      <c r="B104" s="6" t="s">
        <v>71</v>
      </c>
      <c r="C104" s="6"/>
      <c r="D104" s="6" t="s">
        <v>28</v>
      </c>
      <c r="E104" s="6" t="s">
        <v>453</v>
      </c>
      <c r="F104" s="7">
        <v>3.0841806710528791E-2</v>
      </c>
      <c r="G104" s="7">
        <v>0.1059252542013159</v>
      </c>
      <c r="H104" s="7">
        <v>2.036504659553532E-2</v>
      </c>
      <c r="I104" s="7">
        <v>0.1143568272588705</v>
      </c>
      <c r="J104" s="7">
        <v>0.12275945899014069</v>
      </c>
      <c r="K104" s="7">
        <v>1.9091628239016771E-2</v>
      </c>
      <c r="L104" s="7">
        <v>3.4305118755908852E-2</v>
      </c>
      <c r="M104" s="12">
        <f t="shared" si="2"/>
        <v>0.25139400721603733</v>
      </c>
      <c r="N104" s="7">
        <v>2.0239634181635761E-2</v>
      </c>
      <c r="O104" s="7">
        <v>9.3316483050029916E-2</v>
      </c>
      <c r="P104" s="7">
        <v>0.18740473480098011</v>
      </c>
      <c r="Q104" s="7"/>
      <c r="R104" s="13">
        <f t="shared" si="3"/>
        <v>0.99999999999999989</v>
      </c>
      <c r="S104" s="7">
        <v>1.1865943776650141E-3</v>
      </c>
      <c r="T104" s="7">
        <v>2.630766559262189E-2</v>
      </c>
      <c r="U104" s="7">
        <v>8.8107044318817648E-2</v>
      </c>
      <c r="V104" s="7">
        <v>4.8795076115688132E-2</v>
      </c>
      <c r="W104" s="7">
        <v>0</v>
      </c>
      <c r="X104" s="7">
        <v>8.6997626811244663E-2</v>
      </c>
      <c r="Y104" s="7"/>
      <c r="Z104" s="14">
        <f>IFERROR(IF(INDEX('All GHED Countries'!$D$5:$AB$199,MATCH($B104,'All GHED Countries'!$B$5:$B$199,0),MATCH($D104,'All GHED Countries'!$D$4:$AB$4,0))="","",INDEX('All GHED Countries'!$D$5:$AB$199,MATCH($B104,'All GHED Countries'!$B$5:$B$199,0),MATCH($D104,'All GHED Countries'!$D$4:$AB$4,0))),"")</f>
        <v>0.21437885279999999</v>
      </c>
    </row>
    <row r="105" spans="1:26" x14ac:dyDescent="0.2">
      <c r="A105" s="6" t="s">
        <v>70</v>
      </c>
      <c r="B105" s="6" t="s">
        <v>71</v>
      </c>
      <c r="C105" s="6"/>
      <c r="D105" s="6" t="s">
        <v>29</v>
      </c>
      <c r="E105" s="6" t="s">
        <v>453</v>
      </c>
      <c r="F105" s="7">
        <v>5.3273107390145187E-2</v>
      </c>
      <c r="G105" s="7">
        <v>0.1338396915817941</v>
      </c>
      <c r="H105" s="7">
        <v>3.1532309108694402E-2</v>
      </c>
      <c r="I105" s="7">
        <v>0.1275293937127184</v>
      </c>
      <c r="J105" s="7">
        <v>0.1110248000460326</v>
      </c>
      <c r="K105" s="7">
        <v>1.6284020944818459E-2</v>
      </c>
      <c r="L105" s="7">
        <v>5.7300957093810542E-2</v>
      </c>
      <c r="M105" s="12">
        <f t="shared" si="2"/>
        <v>0.18744845311391145</v>
      </c>
      <c r="N105" s="7">
        <v>1.545927076740127E-2</v>
      </c>
      <c r="O105" s="7">
        <v>0.12535243684907069</v>
      </c>
      <c r="P105" s="7">
        <v>0.1409555593916029</v>
      </c>
      <c r="Q105" s="7"/>
      <c r="R105" s="13">
        <f t="shared" si="3"/>
        <v>1</v>
      </c>
      <c r="S105" s="7">
        <v>1.1604043193893009E-3</v>
      </c>
      <c r="T105" s="7">
        <v>3.4764178989968739E-2</v>
      </c>
      <c r="U105" s="7">
        <v>7.0918925139536224E-2</v>
      </c>
      <c r="V105" s="7">
        <v>4.9427469934978999E-2</v>
      </c>
      <c r="W105" s="7">
        <v>1.1028636093369389E-3</v>
      </c>
      <c r="X105" s="7">
        <v>3.0074611120701231E-2</v>
      </c>
      <c r="Y105" s="7"/>
      <c r="Z105" s="14">
        <f>IFERROR(IF(INDEX('All GHED Countries'!$D$5:$AB$199,MATCH($B105,'All GHED Countries'!$B$5:$B$199,0),MATCH($D105,'All GHED Countries'!$D$4:$AB$4,0))="","",INDEX('All GHED Countries'!$D$5:$AB$199,MATCH($B105,'All GHED Countries'!$B$5:$B$199,0),MATCH($D105,'All GHED Countries'!$D$4:$AB$4,0))),"")</f>
        <v>0.18509180069999989</v>
      </c>
    </row>
    <row r="106" spans="1:26" x14ac:dyDescent="0.2">
      <c r="A106" s="6" t="s">
        <v>70</v>
      </c>
      <c r="B106" s="6" t="s">
        <v>71</v>
      </c>
      <c r="C106" s="6"/>
      <c r="D106" s="6" t="s">
        <v>30</v>
      </c>
      <c r="E106" s="6" t="s">
        <v>453</v>
      </c>
      <c r="F106" s="7">
        <v>7.2871463577634188E-2</v>
      </c>
      <c r="G106" s="7">
        <v>0.14361327689908671</v>
      </c>
      <c r="H106" s="7">
        <v>3.0634885275116951E-2</v>
      </c>
      <c r="I106" s="7">
        <v>0.13210069057696591</v>
      </c>
      <c r="J106" s="7">
        <v>9.1833370461127203E-2</v>
      </c>
      <c r="K106" s="7">
        <v>1.5495656048117619E-2</v>
      </c>
      <c r="L106" s="7">
        <v>5.995099131209624E-2</v>
      </c>
      <c r="M106" s="12">
        <f t="shared" si="2"/>
        <v>0.18631321006905771</v>
      </c>
      <c r="N106" s="7">
        <v>1.321452439296057E-2</v>
      </c>
      <c r="O106" s="7">
        <v>0.1310848741367788</v>
      </c>
      <c r="P106" s="7">
        <v>0.1228870572510581</v>
      </c>
      <c r="Q106" s="7"/>
      <c r="R106" s="13">
        <f t="shared" si="3"/>
        <v>1</v>
      </c>
      <c r="S106" s="7">
        <v>1.256404544441969E-3</v>
      </c>
      <c r="T106" s="7">
        <v>2.8808197816885719E-2</v>
      </c>
      <c r="U106" s="7">
        <v>8.7894854087770091E-2</v>
      </c>
      <c r="V106" s="7">
        <v>4.491869013143239E-2</v>
      </c>
      <c r="W106" s="7">
        <v>7.6631766540432103E-4</v>
      </c>
      <c r="X106" s="7">
        <v>2.2668745823123192E-2</v>
      </c>
      <c r="Y106" s="7"/>
      <c r="Z106" s="14" t="str">
        <f>IFERROR(IF(INDEX('All GHED Countries'!$D$5:$AB$199,MATCH($B106,'All GHED Countries'!$B$5:$B$199,0),MATCH($D106,'All GHED Countries'!$D$4:$AB$4,0))="","",INDEX('All GHED Countries'!$D$5:$AB$199,MATCH($B106,'All GHED Countries'!$B$5:$B$199,0),MATCH($D106,'All GHED Countries'!$D$4:$AB$4,0))),"")</f>
        <v/>
      </c>
    </row>
    <row r="107" spans="1:26" x14ac:dyDescent="0.2">
      <c r="A107" s="6" t="s">
        <v>74</v>
      </c>
      <c r="B107" s="6" t="s">
        <v>75</v>
      </c>
      <c r="C107" s="6" t="s">
        <v>49</v>
      </c>
      <c r="D107" s="6" t="s">
        <v>11</v>
      </c>
      <c r="E107" s="6" t="s">
        <v>452</v>
      </c>
      <c r="F107" s="7">
        <v>0.30130279758639611</v>
      </c>
      <c r="G107" s="7">
        <v>5.092338635948071E-2</v>
      </c>
      <c r="H107" s="7">
        <v>0.13149113183397329</v>
      </c>
      <c r="I107" s="7">
        <v>1.834430426037667E-2</v>
      </c>
      <c r="J107" s="7">
        <v>0.27482172243554581</v>
      </c>
      <c r="K107" s="7">
        <v>1.2342292923752E-4</v>
      </c>
      <c r="L107" s="7">
        <v>0</v>
      </c>
      <c r="M107" s="12">
        <f t="shared" si="2"/>
        <v>3.179283232766502E-2</v>
      </c>
      <c r="N107" s="7">
        <v>1.8970561345767051E-3</v>
      </c>
      <c r="O107" s="7">
        <v>8.9714755896873277E-2</v>
      </c>
      <c r="P107" s="7">
        <v>9.9588590235874908E-2</v>
      </c>
      <c r="Q107" s="7"/>
      <c r="R107" s="13">
        <f t="shared" si="3"/>
        <v>1</v>
      </c>
      <c r="S107" s="7"/>
      <c r="T107" s="7">
        <v>5.0283415615286001E-5</v>
      </c>
      <c r="U107" s="7">
        <v>1.727921009325288E-3</v>
      </c>
      <c r="V107" s="7">
        <v>3.0014627902724449E-2</v>
      </c>
      <c r="W107" s="7"/>
      <c r="X107" s="7"/>
      <c r="Y107" s="7"/>
      <c r="Z107" s="14">
        <f>IFERROR(IF(INDEX('All GHED Countries'!$D$5:$AB$199,MATCH($B107,'All GHED Countries'!$B$5:$B$199,0),MATCH($D107,'All GHED Countries'!$D$4:$AB$4,0))="","",INDEX('All GHED Countries'!$D$5:$AB$199,MATCH($B107,'All GHED Countries'!$B$5:$B$199,0),MATCH($D107,'All GHED Countries'!$D$4:$AB$4,0))),"")</f>
        <v>7.5500240299999979E-2</v>
      </c>
    </row>
    <row r="108" spans="1:26" x14ac:dyDescent="0.2">
      <c r="A108" s="6" t="s">
        <v>74</v>
      </c>
      <c r="B108" s="6" t="s">
        <v>75</v>
      </c>
      <c r="C108" s="6" t="s">
        <v>49</v>
      </c>
      <c r="D108" s="6" t="s">
        <v>12</v>
      </c>
      <c r="E108" s="6" t="s">
        <v>452</v>
      </c>
      <c r="F108" s="7">
        <v>0</v>
      </c>
      <c r="G108" s="7">
        <v>0.12624868046780341</v>
      </c>
      <c r="H108" s="7">
        <v>0.13332085302881391</v>
      </c>
      <c r="I108" s="7">
        <v>2.8912705470013469E-2</v>
      </c>
      <c r="J108" s="7">
        <v>0.4596392151968508</v>
      </c>
      <c r="K108" s="7">
        <v>1.6640406025906999E-4</v>
      </c>
      <c r="L108" s="7">
        <v>0</v>
      </c>
      <c r="M108" s="12">
        <f t="shared" si="2"/>
        <v>6.5339594286100575E-2</v>
      </c>
      <c r="N108" s="7">
        <v>6.3909559393249202E-3</v>
      </c>
      <c r="O108" s="7">
        <v>0.1792899746753821</v>
      </c>
      <c r="P108" s="7">
        <v>6.9161687545176093E-4</v>
      </c>
      <c r="Q108" s="7"/>
      <c r="R108" s="13">
        <f t="shared" si="3"/>
        <v>0.99999999999999989</v>
      </c>
      <c r="S108" s="7"/>
      <c r="T108" s="7">
        <v>0</v>
      </c>
      <c r="U108" s="7">
        <v>0</v>
      </c>
      <c r="V108" s="7">
        <v>6.5339594286100575E-2</v>
      </c>
      <c r="W108" s="7"/>
      <c r="X108" s="7"/>
      <c r="Y108" s="7"/>
      <c r="Z108" s="14">
        <f>IFERROR(IF(INDEX('All GHED Countries'!$D$5:$AB$199,MATCH($B108,'All GHED Countries'!$B$5:$B$199,0),MATCH($D108,'All GHED Countries'!$D$4:$AB$4,0))="","",INDEX('All GHED Countries'!$D$5:$AB$199,MATCH($B108,'All GHED Countries'!$B$5:$B$199,0),MATCH($D108,'All GHED Countries'!$D$4:$AB$4,0))),"")</f>
        <v>5.0760445600000009E-2</v>
      </c>
    </row>
    <row r="109" spans="1:26" x14ac:dyDescent="0.2">
      <c r="A109" s="6" t="s">
        <v>74</v>
      </c>
      <c r="B109" s="6" t="s">
        <v>75</v>
      </c>
      <c r="C109" s="6" t="s">
        <v>49</v>
      </c>
      <c r="D109" s="6" t="s">
        <v>13</v>
      </c>
      <c r="E109" s="6" t="s">
        <v>452</v>
      </c>
      <c r="F109" s="7">
        <v>0.1120966289748408</v>
      </c>
      <c r="G109" s="7">
        <v>0.1120966289748408</v>
      </c>
      <c r="H109" s="7">
        <v>0.1183760348322337</v>
      </c>
      <c r="I109" s="7">
        <v>2.5671688652282521E-2</v>
      </c>
      <c r="J109" s="7">
        <v>0.40811520862864242</v>
      </c>
      <c r="K109" s="7">
        <v>1.4775072605630201E-4</v>
      </c>
      <c r="L109" s="7">
        <v>0</v>
      </c>
      <c r="M109" s="12">
        <f t="shared" si="2"/>
        <v>5.8015246028044927E-2</v>
      </c>
      <c r="N109" s="7">
        <v>5.6745513225998591E-3</v>
      </c>
      <c r="O109" s="7">
        <v>0.1591921729052872</v>
      </c>
      <c r="P109" s="7">
        <v>6.1408895517150596E-4</v>
      </c>
      <c r="Q109" s="7"/>
      <c r="R109" s="13">
        <f t="shared" si="3"/>
        <v>1</v>
      </c>
      <c r="S109" s="7"/>
      <c r="T109" s="7">
        <v>0</v>
      </c>
      <c r="U109" s="7">
        <v>0</v>
      </c>
      <c r="V109" s="7">
        <v>5.8015246028044927E-2</v>
      </c>
      <c r="W109" s="7"/>
      <c r="X109" s="7"/>
      <c r="Y109" s="7"/>
      <c r="Z109" s="14">
        <f>IFERROR(IF(INDEX('All GHED Countries'!$D$5:$AB$199,MATCH($B109,'All GHED Countries'!$B$5:$B$199,0),MATCH($D109,'All GHED Countries'!$D$4:$AB$4,0))="","",INDEX('All GHED Countries'!$D$5:$AB$199,MATCH($B109,'All GHED Countries'!$B$5:$B$199,0),MATCH($D109,'All GHED Countries'!$D$4:$AB$4,0))),"")</f>
        <v>6.4959816899999995E-2</v>
      </c>
    </row>
    <row r="110" spans="1:26" x14ac:dyDescent="0.2">
      <c r="A110" s="6" t="s">
        <v>74</v>
      </c>
      <c r="B110" s="6" t="s">
        <v>75</v>
      </c>
      <c r="C110" s="6" t="s">
        <v>49</v>
      </c>
      <c r="D110" s="6" t="s">
        <v>18</v>
      </c>
      <c r="E110" s="6" t="s">
        <v>452</v>
      </c>
      <c r="F110" s="7">
        <v>0.33862167024092882</v>
      </c>
      <c r="G110" s="7">
        <v>3.9759935270504872E-2</v>
      </c>
      <c r="H110" s="7">
        <v>6.213088869511936E-2</v>
      </c>
      <c r="I110" s="7">
        <v>1.8498181446829898E-2</v>
      </c>
      <c r="J110" s="7">
        <v>0.38146882536390703</v>
      </c>
      <c r="K110" s="7">
        <v>7.3841899779259008E-5</v>
      </c>
      <c r="L110" s="7">
        <v>2.9379649486641689E-2</v>
      </c>
      <c r="M110" s="12">
        <f t="shared" si="2"/>
        <v>5.9483578032820367E-2</v>
      </c>
      <c r="N110" s="7">
        <v>3.047942246207747E-3</v>
      </c>
      <c r="O110" s="7">
        <v>4.8028656941531363E-2</v>
      </c>
      <c r="P110" s="7">
        <v>1.9506830375729579E-2</v>
      </c>
      <c r="Q110" s="7"/>
      <c r="R110" s="13">
        <f t="shared" si="3"/>
        <v>0.99999999999999989</v>
      </c>
      <c r="S110" s="7">
        <v>0</v>
      </c>
      <c r="T110" s="7">
        <v>0</v>
      </c>
      <c r="U110" s="7">
        <v>0</v>
      </c>
      <c r="V110" s="7">
        <v>5.9483578032820367E-2</v>
      </c>
      <c r="W110" s="7">
        <v>0</v>
      </c>
      <c r="X110" s="7">
        <v>0</v>
      </c>
      <c r="Y110" s="7"/>
      <c r="Z110" s="14">
        <f>IFERROR(IF(INDEX('All GHED Countries'!$D$5:$AB$199,MATCH($B110,'All GHED Countries'!$B$5:$B$199,0),MATCH($D110,'All GHED Countries'!$D$4:$AB$4,0))="","",INDEX('All GHED Countries'!$D$5:$AB$199,MATCH($B110,'All GHED Countries'!$B$5:$B$199,0),MATCH($D110,'All GHED Countries'!$D$4:$AB$4,0))),"")</f>
        <v>6.4068546300000001E-2</v>
      </c>
    </row>
    <row r="111" spans="1:26" x14ac:dyDescent="0.2">
      <c r="A111" s="6" t="s">
        <v>74</v>
      </c>
      <c r="B111" s="6" t="s">
        <v>75</v>
      </c>
      <c r="C111" s="6" t="s">
        <v>49</v>
      </c>
      <c r="D111" s="6" t="s">
        <v>19</v>
      </c>
      <c r="E111" s="6" t="s">
        <v>452</v>
      </c>
      <c r="F111" s="7">
        <v>0.46429286715323481</v>
      </c>
      <c r="G111" s="7">
        <v>2.5247634876532889E-2</v>
      </c>
      <c r="H111" s="7">
        <v>5.2510250967579671E-2</v>
      </c>
      <c r="I111" s="7">
        <v>1.348717476506942E-2</v>
      </c>
      <c r="J111" s="7">
        <v>0.1221398977226449</v>
      </c>
      <c r="K111" s="7">
        <v>3.7300881753944302E-4</v>
      </c>
      <c r="L111" s="7">
        <v>0.14095778245971141</v>
      </c>
      <c r="M111" s="12">
        <f t="shared" si="2"/>
        <v>3.8662879910441789E-2</v>
      </c>
      <c r="N111" s="7">
        <v>3.5664742198914211E-3</v>
      </c>
      <c r="O111" s="7">
        <v>0.13800518116466859</v>
      </c>
      <c r="P111" s="7">
        <v>7.5684794268569301E-4</v>
      </c>
      <c r="Q111" s="7"/>
      <c r="R111" s="13">
        <f t="shared" si="3"/>
        <v>1</v>
      </c>
      <c r="S111" s="7">
        <v>0</v>
      </c>
      <c r="T111" s="7">
        <v>0</v>
      </c>
      <c r="U111" s="7">
        <v>0</v>
      </c>
      <c r="V111" s="7">
        <v>3.8662879910441789E-2</v>
      </c>
      <c r="W111" s="7">
        <v>0</v>
      </c>
      <c r="X111" s="7">
        <v>0</v>
      </c>
      <c r="Y111" s="7"/>
      <c r="Z111" s="14">
        <f>IFERROR(IF(INDEX('All GHED Countries'!$D$5:$AB$199,MATCH($B111,'All GHED Countries'!$B$5:$B$199,0),MATCH($D111,'All GHED Countries'!$D$4:$AB$4,0))="","",INDEX('All GHED Countries'!$D$5:$AB$199,MATCH($B111,'All GHED Countries'!$B$5:$B$199,0),MATCH($D111,'All GHED Countries'!$D$4:$AB$4,0))),"")</f>
        <v>6.1933026300000013E-2</v>
      </c>
    </row>
    <row r="112" spans="1:26" x14ac:dyDescent="0.2">
      <c r="A112" s="6" t="s">
        <v>74</v>
      </c>
      <c r="B112" s="6" t="s">
        <v>75</v>
      </c>
      <c r="C112" s="6" t="s">
        <v>49</v>
      </c>
      <c r="D112" s="6" t="s">
        <v>20</v>
      </c>
      <c r="E112" s="6" t="s">
        <v>452</v>
      </c>
      <c r="F112" s="7">
        <v>0.4032872057065926</v>
      </c>
      <c r="G112" s="7">
        <v>2.4598751704378079E-2</v>
      </c>
      <c r="H112" s="7">
        <v>4.5502183563967728E-2</v>
      </c>
      <c r="I112" s="7">
        <v>2.3502129972688759E-2</v>
      </c>
      <c r="J112" s="7">
        <v>0.28530177986417649</v>
      </c>
      <c r="K112" s="7">
        <v>2.27823619566431E-4</v>
      </c>
      <c r="L112" s="7">
        <v>4.0399026213905988E-2</v>
      </c>
      <c r="M112" s="12">
        <f t="shared" si="2"/>
        <v>4.4232595811260558E-2</v>
      </c>
      <c r="N112" s="7">
        <v>4.1057652050766769E-3</v>
      </c>
      <c r="O112" s="7">
        <v>0.12846509680057161</v>
      </c>
      <c r="P112" s="7">
        <v>3.7764153781580601E-4</v>
      </c>
      <c r="Q112" s="7"/>
      <c r="R112" s="13">
        <f t="shared" si="3"/>
        <v>1.0000000000000007</v>
      </c>
      <c r="S112" s="7">
        <v>3.9035403141284301E-4</v>
      </c>
      <c r="T112" s="7">
        <v>9.0599999407765669E-3</v>
      </c>
      <c r="U112" s="7">
        <v>2.072858325462694E-3</v>
      </c>
      <c r="V112" s="7">
        <v>2.9665309249363919E-2</v>
      </c>
      <c r="W112" s="7">
        <v>5.9786533507498495E-4</v>
      </c>
      <c r="X112" s="7">
        <v>2.4462089291695491E-3</v>
      </c>
      <c r="Y112" s="7"/>
      <c r="Z112" s="14">
        <f>IFERROR(IF(INDEX('All GHED Countries'!$D$5:$AB$199,MATCH($B112,'All GHED Countries'!$B$5:$B$199,0),MATCH($D112,'All GHED Countries'!$D$4:$AB$4,0))="","",INDEX('All GHED Countries'!$D$5:$AB$199,MATCH($B112,'All GHED Countries'!$B$5:$B$199,0),MATCH($D112,'All GHED Countries'!$D$4:$AB$4,0))),"")</f>
        <v>4.0883421900000008E-2</v>
      </c>
    </row>
    <row r="113" spans="1:26" x14ac:dyDescent="0.2">
      <c r="A113" s="6" t="s">
        <v>74</v>
      </c>
      <c r="B113" s="6" t="s">
        <v>75</v>
      </c>
      <c r="C113" s="6" t="s">
        <v>49</v>
      </c>
      <c r="D113" s="6" t="s">
        <v>21</v>
      </c>
      <c r="E113" s="6" t="s">
        <v>452</v>
      </c>
      <c r="F113" s="7">
        <v>0.45133733135868431</v>
      </c>
      <c r="G113" s="7">
        <v>2.8795355905146511E-2</v>
      </c>
      <c r="H113" s="7">
        <v>4.7289494123336627E-2</v>
      </c>
      <c r="I113" s="7">
        <v>2.5657137577690399E-2</v>
      </c>
      <c r="J113" s="7">
        <v>0.2409394244830326</v>
      </c>
      <c r="K113" s="7">
        <v>6.8262650848810696E-4</v>
      </c>
      <c r="L113" s="7">
        <v>1.0913457038315449E-2</v>
      </c>
      <c r="M113" s="12">
        <f t="shared" si="2"/>
        <v>4.6459368287422552E-2</v>
      </c>
      <c r="N113" s="7">
        <v>4.4503612265600762E-3</v>
      </c>
      <c r="O113" s="7">
        <v>0.1415972854753304</v>
      </c>
      <c r="P113" s="7">
        <v>1.8781580159929691E-3</v>
      </c>
      <c r="Q113" s="7"/>
      <c r="R113" s="13">
        <f t="shared" si="3"/>
        <v>1.0000000000000002</v>
      </c>
      <c r="S113" s="7">
        <v>3.7935996008063301E-4</v>
      </c>
      <c r="T113" s="7">
        <v>0</v>
      </c>
      <c r="U113" s="7">
        <v>3.7832462455203802E-3</v>
      </c>
      <c r="V113" s="7">
        <v>3.7466327499370261E-2</v>
      </c>
      <c r="W113" s="7">
        <v>4.171797334032909E-4</v>
      </c>
      <c r="X113" s="7">
        <v>4.4132548490479814E-3</v>
      </c>
      <c r="Y113" s="7"/>
      <c r="Z113" s="14">
        <f>IFERROR(IF(INDEX('All GHED Countries'!$D$5:$AB$199,MATCH($B113,'All GHED Countries'!$B$5:$B$199,0),MATCH($D113,'All GHED Countries'!$D$4:$AB$4,0))="","",INDEX('All GHED Countries'!$D$5:$AB$199,MATCH($B113,'All GHED Countries'!$B$5:$B$199,0),MATCH($D113,'All GHED Countries'!$D$4:$AB$4,0))),"")</f>
        <v>5.5721168499999987E-2</v>
      </c>
    </row>
    <row r="114" spans="1:26" x14ac:dyDescent="0.2">
      <c r="A114" s="6" t="s">
        <v>74</v>
      </c>
      <c r="B114" s="6" t="s">
        <v>75</v>
      </c>
      <c r="C114" s="6" t="s">
        <v>49</v>
      </c>
      <c r="D114" s="6" t="s">
        <v>22</v>
      </c>
      <c r="E114" s="6" t="s">
        <v>452</v>
      </c>
      <c r="F114" s="7">
        <v>0.38244315186508338</v>
      </c>
      <c r="G114" s="7">
        <v>3.1057821075776509E-2</v>
      </c>
      <c r="H114" s="7">
        <v>3.9439814503662678E-2</v>
      </c>
      <c r="I114" s="7">
        <v>2.1956998655771769E-2</v>
      </c>
      <c r="J114" s="7">
        <v>0.23089759780262331</v>
      </c>
      <c r="K114" s="7">
        <v>1.742932541602332E-3</v>
      </c>
      <c r="L114" s="7">
        <v>2.4186368987368301E-2</v>
      </c>
      <c r="M114" s="12">
        <f t="shared" si="2"/>
        <v>3.6406698651362229E-2</v>
      </c>
      <c r="N114" s="7">
        <v>4.9143746147259238E-3</v>
      </c>
      <c r="O114" s="7">
        <v>0.14657258739167869</v>
      </c>
      <c r="P114" s="7">
        <v>8.0381653910344783E-2</v>
      </c>
      <c r="Q114" s="7"/>
      <c r="R114" s="13">
        <f t="shared" si="3"/>
        <v>0.99999999999999978</v>
      </c>
      <c r="S114" s="7">
        <v>6.7458246665184505E-4</v>
      </c>
      <c r="T114" s="7">
        <v>0</v>
      </c>
      <c r="U114" s="7">
        <v>5.4710637404596389E-3</v>
      </c>
      <c r="V114" s="7">
        <v>2.0835895935816199E-2</v>
      </c>
      <c r="W114" s="7">
        <v>7.43692996089001E-4</v>
      </c>
      <c r="X114" s="7">
        <v>8.68146351234555E-3</v>
      </c>
      <c r="Y114" s="7"/>
      <c r="Z114" s="14">
        <f>IFERROR(IF(INDEX('All GHED Countries'!$D$5:$AB$199,MATCH($B114,'All GHED Countries'!$B$5:$B$199,0),MATCH($D114,'All GHED Countries'!$D$4:$AB$4,0))="","",INDEX('All GHED Countries'!$D$5:$AB$199,MATCH($B114,'All GHED Countries'!$B$5:$B$199,0),MATCH($D114,'All GHED Countries'!$D$4:$AB$4,0))),"")</f>
        <v>5.0244526900000003E-2</v>
      </c>
    </row>
    <row r="115" spans="1:26" x14ac:dyDescent="0.2">
      <c r="A115" s="6" t="s">
        <v>74</v>
      </c>
      <c r="B115" s="6" t="s">
        <v>75</v>
      </c>
      <c r="C115" s="6" t="s">
        <v>49</v>
      </c>
      <c r="D115" s="6" t="s">
        <v>23</v>
      </c>
      <c r="E115" s="6" t="s">
        <v>452</v>
      </c>
      <c r="F115" s="7">
        <v>0.44842782199592102</v>
      </c>
      <c r="G115" s="7">
        <v>3.1715273309411089E-2</v>
      </c>
      <c r="H115" s="7">
        <v>4.1455898228341018E-2</v>
      </c>
      <c r="I115" s="7">
        <v>2.004725429977287E-2</v>
      </c>
      <c r="J115" s="7">
        <v>0.20603214647581289</v>
      </c>
      <c r="K115" s="7">
        <v>1.4306371669318689E-3</v>
      </c>
      <c r="L115" s="7">
        <v>1.931043271082488E-2</v>
      </c>
      <c r="M115" s="12">
        <f t="shared" si="2"/>
        <v>2.8103117467180663E-2</v>
      </c>
      <c r="N115" s="7">
        <v>4.7666900639338761E-3</v>
      </c>
      <c r="O115" s="7">
        <v>0.15556060428674909</v>
      </c>
      <c r="P115" s="7">
        <v>4.3150123995120818E-2</v>
      </c>
      <c r="Q115" s="7"/>
      <c r="R115" s="13">
        <f t="shared" si="3"/>
        <v>1</v>
      </c>
      <c r="S115" s="7">
        <v>4.9907730009629005E-4</v>
      </c>
      <c r="T115" s="7">
        <v>0</v>
      </c>
      <c r="U115" s="7">
        <v>5.655225327811827E-3</v>
      </c>
      <c r="V115" s="7">
        <v>1.9158620671859881E-2</v>
      </c>
      <c r="W115" s="7">
        <v>1.3014459702734801E-3</v>
      </c>
      <c r="X115" s="7">
        <v>1.488748197139182E-3</v>
      </c>
      <c r="Y115" s="7"/>
      <c r="Z115" s="14">
        <f>IFERROR(IF(INDEX('All GHED Countries'!$D$5:$AB$199,MATCH($B115,'All GHED Countries'!$B$5:$B$199,0),MATCH($D115,'All GHED Countries'!$D$4:$AB$4,0))="","",INDEX('All GHED Countries'!$D$5:$AB$199,MATCH($B115,'All GHED Countries'!$B$5:$B$199,0),MATCH($D115,'All GHED Countries'!$D$4:$AB$4,0))),"")</f>
        <v>4.7883601199999987E-2</v>
      </c>
    </row>
    <row r="116" spans="1:26" x14ac:dyDescent="0.2">
      <c r="A116" s="6" t="s">
        <v>74</v>
      </c>
      <c r="B116" s="6" t="s">
        <v>75</v>
      </c>
      <c r="C116" s="6" t="s">
        <v>49</v>
      </c>
      <c r="D116" s="6" t="s">
        <v>24</v>
      </c>
      <c r="E116" s="6" t="s">
        <v>452</v>
      </c>
      <c r="F116" s="7">
        <v>0.42629674237379289</v>
      </c>
      <c r="G116" s="7">
        <v>3.7669637338010438E-2</v>
      </c>
      <c r="H116" s="7">
        <v>4.2917206515191618E-2</v>
      </c>
      <c r="I116" s="7">
        <v>2.2133409344474868E-2</v>
      </c>
      <c r="J116" s="7">
        <v>0.185974805177226</v>
      </c>
      <c r="K116" s="7">
        <v>4.7263794728327332E-3</v>
      </c>
      <c r="L116" s="7">
        <v>1.8155563028139751E-2</v>
      </c>
      <c r="M116" s="12">
        <f t="shared" si="2"/>
        <v>4.3624772780263797E-2</v>
      </c>
      <c r="N116" s="7">
        <v>6.0900191274996917E-3</v>
      </c>
      <c r="O116" s="7">
        <v>0.1572787525795738</v>
      </c>
      <c r="P116" s="7">
        <v>5.5132712262994467E-2</v>
      </c>
      <c r="Q116" s="7"/>
      <c r="R116" s="13">
        <f t="shared" si="3"/>
        <v>0.99999999999999989</v>
      </c>
      <c r="S116" s="7">
        <v>5.1825197185588099E-4</v>
      </c>
      <c r="T116" s="7">
        <v>0</v>
      </c>
      <c r="U116" s="7">
        <v>5.9159754393585222E-3</v>
      </c>
      <c r="V116" s="7">
        <v>3.1573762435599839E-2</v>
      </c>
      <c r="W116" s="7">
        <v>0</v>
      </c>
      <c r="X116" s="7">
        <v>5.6167829334495536E-3</v>
      </c>
      <c r="Y116" s="7"/>
      <c r="Z116" s="14">
        <f>IFERROR(IF(INDEX('All GHED Countries'!$D$5:$AB$199,MATCH($B116,'All GHED Countries'!$B$5:$B$199,0),MATCH($D116,'All GHED Countries'!$D$4:$AB$4,0))="","",INDEX('All GHED Countries'!$D$5:$AB$199,MATCH($B116,'All GHED Countries'!$B$5:$B$199,0),MATCH($D116,'All GHED Countries'!$D$4:$AB$4,0))),"")</f>
        <v>4.7606048599999999E-2</v>
      </c>
    </row>
    <row r="117" spans="1:26" x14ac:dyDescent="0.2">
      <c r="A117" s="6" t="s">
        <v>74</v>
      </c>
      <c r="B117" s="6" t="s">
        <v>75</v>
      </c>
      <c r="C117" s="6" t="s">
        <v>49</v>
      </c>
      <c r="D117" s="6" t="s">
        <v>25</v>
      </c>
      <c r="E117" s="6" t="s">
        <v>452</v>
      </c>
      <c r="F117" s="7">
        <v>0.44616462627331321</v>
      </c>
      <c r="G117" s="7">
        <v>3.8181736444047938E-2</v>
      </c>
      <c r="H117" s="7">
        <v>4.0554351926796788E-2</v>
      </c>
      <c r="I117" s="7">
        <v>1.9501340710630869E-2</v>
      </c>
      <c r="J117" s="7">
        <v>0.1837733885030681</v>
      </c>
      <c r="K117" s="7">
        <v>5.0555158104293261E-3</v>
      </c>
      <c r="L117" s="7">
        <v>1.946786577534897E-2</v>
      </c>
      <c r="M117" s="12">
        <f t="shared" si="2"/>
        <v>4.8452712641377439E-2</v>
      </c>
      <c r="N117" s="7">
        <v>5.4157357433466044E-3</v>
      </c>
      <c r="O117" s="7">
        <v>0.1491207543475489</v>
      </c>
      <c r="P117" s="7">
        <v>4.4311971824091773E-2</v>
      </c>
      <c r="Q117" s="7"/>
      <c r="R117" s="13">
        <f t="shared" si="3"/>
        <v>0.99999999999999989</v>
      </c>
      <c r="S117" s="7">
        <v>6.1188702405616502E-4</v>
      </c>
      <c r="T117" s="7">
        <v>0</v>
      </c>
      <c r="U117" s="7">
        <v>3.9288134155033294E-3</v>
      </c>
      <c r="V117" s="7">
        <v>4.0781305474977741E-2</v>
      </c>
      <c r="W117" s="7">
        <v>0</v>
      </c>
      <c r="X117" s="7">
        <v>3.1307067268402009E-3</v>
      </c>
      <c r="Y117" s="7"/>
      <c r="Z117" s="14">
        <f>IFERROR(IF(INDEX('All GHED Countries'!$D$5:$AB$199,MATCH($B117,'All GHED Countries'!$B$5:$B$199,0),MATCH($D117,'All GHED Countries'!$D$4:$AB$4,0))="","",INDEX('All GHED Countries'!$D$5:$AB$199,MATCH($B117,'All GHED Countries'!$B$5:$B$199,0),MATCH($D117,'All GHED Countries'!$D$4:$AB$4,0))),"")</f>
        <v>4.7606048599999999E-2</v>
      </c>
    </row>
    <row r="118" spans="1:26" x14ac:dyDescent="0.2">
      <c r="A118" s="6" t="s">
        <v>74</v>
      </c>
      <c r="B118" s="6" t="s">
        <v>75</v>
      </c>
      <c r="C118" s="6" t="s">
        <v>49</v>
      </c>
      <c r="D118" s="6" t="s">
        <v>26</v>
      </c>
      <c r="E118" s="6" t="s">
        <v>452</v>
      </c>
      <c r="F118" s="7">
        <v>0.52104755130028513</v>
      </c>
      <c r="G118" s="7">
        <v>3.7288713267975421E-2</v>
      </c>
      <c r="H118" s="7">
        <v>4.2009557221835553E-2</v>
      </c>
      <c r="I118" s="7">
        <v>2.2382958942056091E-2</v>
      </c>
      <c r="J118" s="7">
        <v>0.14155415096254739</v>
      </c>
      <c r="K118" s="7">
        <v>3.2247361513665922E-3</v>
      </c>
      <c r="L118" s="7">
        <v>8.4704854562114105E-3</v>
      </c>
      <c r="M118" s="12">
        <f t="shared" si="2"/>
        <v>5.7520445176125271E-2</v>
      </c>
      <c r="N118" s="7">
        <v>3.072835897588588E-3</v>
      </c>
      <c r="O118" s="7">
        <v>0.14345223404752011</v>
      </c>
      <c r="P118" s="7">
        <v>1.9976331576488551E-2</v>
      </c>
      <c r="Q118" s="7"/>
      <c r="R118" s="13">
        <f t="shared" si="3"/>
        <v>1.0000000000000002</v>
      </c>
      <c r="S118" s="7">
        <v>3.8370178756069998E-5</v>
      </c>
      <c r="T118" s="7">
        <v>6.853275507010423E-3</v>
      </c>
      <c r="U118" s="7">
        <v>7.2623366748589217E-3</v>
      </c>
      <c r="V118" s="7">
        <v>3.9699225686806658E-2</v>
      </c>
      <c r="W118" s="7">
        <v>1.1093303962821941E-3</v>
      </c>
      <c r="X118" s="7">
        <v>2.557906732411009E-3</v>
      </c>
      <c r="Y118" s="7"/>
      <c r="Z118" s="14">
        <f>IFERROR(IF(INDEX('All GHED Countries'!$D$5:$AB$199,MATCH($B118,'All GHED Countries'!$B$5:$B$199,0),MATCH($D118,'All GHED Countries'!$D$4:$AB$4,0))="","",INDEX('All GHED Countries'!$D$5:$AB$199,MATCH($B118,'All GHED Countries'!$B$5:$B$199,0),MATCH($D118,'All GHED Countries'!$D$4:$AB$4,0))),"")</f>
        <v>6.79223251E-2</v>
      </c>
    </row>
    <row r="119" spans="1:26" x14ac:dyDescent="0.2">
      <c r="A119" s="6" t="s">
        <v>74</v>
      </c>
      <c r="B119" s="6" t="s">
        <v>75</v>
      </c>
      <c r="C119" s="6" t="s">
        <v>49</v>
      </c>
      <c r="D119" s="6" t="s">
        <v>27</v>
      </c>
      <c r="E119" s="6" t="s">
        <v>452</v>
      </c>
      <c r="F119" s="7">
        <v>0.44865361830976569</v>
      </c>
      <c r="G119" s="7">
        <v>5.6546416526219688E-2</v>
      </c>
      <c r="H119" s="7">
        <v>4.9273122933062581E-2</v>
      </c>
      <c r="I119" s="7">
        <v>2.1774606834050188E-2</v>
      </c>
      <c r="J119" s="7">
        <v>0.16055063410455389</v>
      </c>
      <c r="K119" s="7">
        <v>2.6328849135291731E-3</v>
      </c>
      <c r="L119" s="7">
        <v>2.1545918112332089E-2</v>
      </c>
      <c r="M119" s="12">
        <f t="shared" si="2"/>
        <v>5.9658653846647924E-2</v>
      </c>
      <c r="N119" s="7">
        <v>3.2880862261294879E-3</v>
      </c>
      <c r="O119" s="7">
        <v>0.13529766209901189</v>
      </c>
      <c r="P119" s="7">
        <v>4.0778396094697383E-2</v>
      </c>
      <c r="Q119" s="7"/>
      <c r="R119" s="13">
        <f t="shared" si="3"/>
        <v>1.0000000000000002</v>
      </c>
      <c r="S119" s="7">
        <v>2.9602205831752002E-5</v>
      </c>
      <c r="T119" s="7">
        <v>9.38838171526735E-3</v>
      </c>
      <c r="U119" s="7">
        <v>8.3055062418935059E-3</v>
      </c>
      <c r="V119" s="7">
        <v>3.6165104915825128E-2</v>
      </c>
      <c r="W119" s="7">
        <v>1.021319995123067E-3</v>
      </c>
      <c r="X119" s="7">
        <v>4.7487387727071237E-3</v>
      </c>
      <c r="Y119" s="7"/>
      <c r="Z119" s="14">
        <f>IFERROR(IF(INDEX('All GHED Countries'!$D$5:$AB$199,MATCH($B119,'All GHED Countries'!$B$5:$B$199,0),MATCH($D119,'All GHED Countries'!$D$4:$AB$4,0))="","",INDEX('All GHED Countries'!$D$5:$AB$199,MATCH($B119,'All GHED Countries'!$B$5:$B$199,0),MATCH($D119,'All GHED Countries'!$D$4:$AB$4,0))),"")</f>
        <v>7.0967450099999982E-2</v>
      </c>
    </row>
    <row r="120" spans="1:26" x14ac:dyDescent="0.2">
      <c r="A120" s="6" t="s">
        <v>74</v>
      </c>
      <c r="B120" s="6" t="s">
        <v>75</v>
      </c>
      <c r="C120" s="6" t="s">
        <v>49</v>
      </c>
      <c r="D120" s="6" t="s">
        <v>28</v>
      </c>
      <c r="E120" s="6" t="s">
        <v>452</v>
      </c>
      <c r="F120" s="7">
        <v>0.37748461730336469</v>
      </c>
      <c r="G120" s="7">
        <v>7.6352148394511585E-2</v>
      </c>
      <c r="H120" s="7">
        <v>0.15072368777939929</v>
      </c>
      <c r="I120" s="7">
        <v>2.0914321427159929E-2</v>
      </c>
      <c r="J120" s="7">
        <v>0.1234657452106894</v>
      </c>
      <c r="K120" s="7">
        <v>2.669799350076761E-3</v>
      </c>
      <c r="L120" s="7">
        <v>1.739085135801758E-2</v>
      </c>
      <c r="M120" s="12">
        <f t="shared" si="2"/>
        <v>3.892972799987128E-2</v>
      </c>
      <c r="N120" s="7">
        <v>4.2630672146509209E-3</v>
      </c>
      <c r="O120" s="7">
        <v>0.1178654174214806</v>
      </c>
      <c r="P120" s="7">
        <v>6.9940616540777975E-2</v>
      </c>
      <c r="Q120" s="7"/>
      <c r="R120" s="13">
        <f t="shared" si="3"/>
        <v>1</v>
      </c>
      <c r="S120" s="7">
        <v>3.9197409101033002E-5</v>
      </c>
      <c r="T120" s="7">
        <v>4.7534688768026464E-3</v>
      </c>
      <c r="U120" s="7">
        <v>7.0195686362495421E-3</v>
      </c>
      <c r="V120" s="7">
        <v>1.7319388183188081E-2</v>
      </c>
      <c r="W120" s="7">
        <v>1.1420020292258199E-3</v>
      </c>
      <c r="X120" s="7">
        <v>8.656102865304157E-3</v>
      </c>
      <c r="Y120" s="7"/>
      <c r="Z120" s="14">
        <f>IFERROR(IF(INDEX('All GHED Countries'!$D$5:$AB$199,MATCH($B120,'All GHED Countries'!$B$5:$B$199,0),MATCH($D120,'All GHED Countries'!$D$4:$AB$4,0))="","",INDEX('All GHED Countries'!$D$5:$AB$199,MATCH($B120,'All GHED Countries'!$B$5:$B$199,0),MATCH($D120,'All GHED Countries'!$D$4:$AB$4,0))),"")</f>
        <v>5.6767020199999997E-2</v>
      </c>
    </row>
    <row r="121" spans="1:26" x14ac:dyDescent="0.2">
      <c r="A121" s="6" t="s">
        <v>74</v>
      </c>
      <c r="B121" s="6" t="s">
        <v>75</v>
      </c>
      <c r="C121" s="6" t="s">
        <v>49</v>
      </c>
      <c r="D121" s="6" t="s">
        <v>29</v>
      </c>
      <c r="E121" s="6" t="s">
        <v>452</v>
      </c>
      <c r="F121" s="7">
        <v>0.38544237924320751</v>
      </c>
      <c r="G121" s="7">
        <v>7.06914091975374E-2</v>
      </c>
      <c r="H121" s="7">
        <v>9.4132920964335801E-2</v>
      </c>
      <c r="I121" s="7">
        <v>2.4110888001991852E-2</v>
      </c>
      <c r="J121" s="7">
        <v>0.15197230644615911</v>
      </c>
      <c r="K121" s="7">
        <v>4.9555836242272848E-3</v>
      </c>
      <c r="L121" s="7">
        <v>1.6660796488802719E-2</v>
      </c>
      <c r="M121" s="12">
        <f t="shared" si="2"/>
        <v>5.6663981341339056E-2</v>
      </c>
      <c r="N121" s="7">
        <v>4.1694881156025222E-3</v>
      </c>
      <c r="O121" s="7">
        <v>0.12565079059711881</v>
      </c>
      <c r="P121" s="7">
        <v>6.5549455979677942E-2</v>
      </c>
      <c r="Q121" s="7"/>
      <c r="R121" s="13">
        <f t="shared" si="3"/>
        <v>1</v>
      </c>
      <c r="S121" s="7">
        <v>0</v>
      </c>
      <c r="T121" s="7">
        <v>0</v>
      </c>
      <c r="U121" s="7">
        <v>5.6913842700543806E-3</v>
      </c>
      <c r="V121" s="7">
        <v>2.4231859610761752E-2</v>
      </c>
      <c r="W121" s="7">
        <v>1.623365673565519E-3</v>
      </c>
      <c r="X121" s="7">
        <v>2.5117371786957408E-2</v>
      </c>
      <c r="Y121" s="7"/>
      <c r="Z121" s="14">
        <f>IFERROR(IF(INDEX('All GHED Countries'!$D$5:$AB$199,MATCH($B121,'All GHED Countries'!$B$5:$B$199,0),MATCH($D121,'All GHED Countries'!$D$4:$AB$4,0))="","",INDEX('All GHED Countries'!$D$5:$AB$199,MATCH($B121,'All GHED Countries'!$B$5:$B$199,0),MATCH($D121,'All GHED Countries'!$D$4:$AB$4,0))),"")</f>
        <v>5.6767020199999997E-2</v>
      </c>
    </row>
    <row r="122" spans="1:26" x14ac:dyDescent="0.2">
      <c r="A122" s="6" t="s">
        <v>74</v>
      </c>
      <c r="B122" s="6" t="s">
        <v>75</v>
      </c>
      <c r="C122" s="6" t="s">
        <v>49</v>
      </c>
      <c r="D122" s="6" t="s">
        <v>30</v>
      </c>
      <c r="E122" s="6" t="s">
        <v>452</v>
      </c>
      <c r="F122" s="7">
        <v>0.36298872188207609</v>
      </c>
      <c r="G122" s="7">
        <v>8.963989342946295E-2</v>
      </c>
      <c r="H122" s="7">
        <v>8.93906644381086E-2</v>
      </c>
      <c r="I122" s="7">
        <v>2.7131853723742501E-2</v>
      </c>
      <c r="J122" s="7">
        <v>0.14105501248850291</v>
      </c>
      <c r="K122" s="7">
        <v>8.2932899760127399E-3</v>
      </c>
      <c r="L122" s="7">
        <v>2.540949863715319E-2</v>
      </c>
      <c r="M122" s="12">
        <f t="shared" si="2"/>
        <v>5.2984492326570314E-2</v>
      </c>
      <c r="N122" s="7">
        <v>5.4837734097818967E-3</v>
      </c>
      <c r="O122" s="7">
        <v>0.1351410405872476</v>
      </c>
      <c r="P122" s="7">
        <v>6.2481759101341322E-2</v>
      </c>
      <c r="Q122" s="7"/>
      <c r="R122" s="13">
        <f t="shared" si="3"/>
        <v>1</v>
      </c>
      <c r="S122" s="7">
        <v>0</v>
      </c>
      <c r="T122" s="7">
        <v>0</v>
      </c>
      <c r="U122" s="7">
        <v>7.2579200011144958E-3</v>
      </c>
      <c r="V122" s="7">
        <v>2.0592399750490601E-2</v>
      </c>
      <c r="W122" s="7">
        <v>4.7864138910478802E-4</v>
      </c>
      <c r="X122" s="7">
        <v>2.4655531185860429E-2</v>
      </c>
      <c r="Y122" s="7"/>
      <c r="Z122" s="14" t="str">
        <f>IFERROR(IF(INDEX('All GHED Countries'!$D$5:$AB$199,MATCH($B122,'All GHED Countries'!$B$5:$B$199,0),MATCH($D122,'All GHED Countries'!$D$4:$AB$4,0))="","",INDEX('All GHED Countries'!$D$5:$AB$199,MATCH($B122,'All GHED Countries'!$B$5:$B$199,0),MATCH($D122,'All GHED Countries'!$D$4:$AB$4,0))),"")</f>
        <v/>
      </c>
    </row>
    <row r="123" spans="1:26" x14ac:dyDescent="0.2">
      <c r="A123" s="6" t="s">
        <v>76</v>
      </c>
      <c r="B123" s="6" t="s">
        <v>77</v>
      </c>
      <c r="C123" s="6"/>
      <c r="D123" s="6" t="s">
        <v>11</v>
      </c>
      <c r="E123" s="6" t="s">
        <v>452</v>
      </c>
      <c r="F123" s="7">
        <v>0.19116695194396099</v>
      </c>
      <c r="G123" s="7">
        <v>9.212059318498915E-2</v>
      </c>
      <c r="H123" s="7">
        <v>5.9642132819354751E-2</v>
      </c>
      <c r="I123" s="7">
        <v>6.8689498439365393E-2</v>
      </c>
      <c r="J123" s="7">
        <v>0.12280108740992191</v>
      </c>
      <c r="K123" s="7">
        <v>9.8744300447333976E-3</v>
      </c>
      <c r="L123" s="7">
        <v>9.1926412841793356E-2</v>
      </c>
      <c r="M123" s="12">
        <f t="shared" si="2"/>
        <v>9.6522014297426781E-2</v>
      </c>
      <c r="N123" s="7">
        <v>8.6014700171166379E-3</v>
      </c>
      <c r="O123" s="7">
        <v>0.21374221480661079</v>
      </c>
      <c r="P123" s="7">
        <v>4.4913194194726919E-2</v>
      </c>
      <c r="Q123" s="7"/>
      <c r="R123" s="13">
        <f t="shared" si="3"/>
        <v>1.0000000000000002</v>
      </c>
      <c r="S123" s="7"/>
      <c r="T123" s="7">
        <v>0</v>
      </c>
      <c r="U123" s="7">
        <v>7.1005278828589105E-2</v>
      </c>
      <c r="V123" s="7">
        <v>4.3151187376839319E-3</v>
      </c>
      <c r="W123" s="7"/>
      <c r="X123" s="7"/>
      <c r="Y123" s="7">
        <v>2.1201616731153741E-2</v>
      </c>
      <c r="Z123" s="14">
        <f>IFERROR(IF(INDEX('All GHED Countries'!$D$5:$AB$199,MATCH($B123,'All GHED Countries'!$B$5:$B$199,0),MATCH($D123,'All GHED Countries'!$D$4:$AB$4,0))="","",INDEX('All GHED Countries'!$D$5:$AB$199,MATCH($B123,'All GHED Countries'!$B$5:$B$199,0),MATCH($D123,'All GHED Countries'!$D$4:$AB$4,0))),"")</f>
        <v>0.10359533310000001</v>
      </c>
    </row>
    <row r="124" spans="1:26" x14ac:dyDescent="0.2">
      <c r="A124" s="6" t="s">
        <v>76</v>
      </c>
      <c r="B124" s="6" t="s">
        <v>77</v>
      </c>
      <c r="C124" s="6"/>
      <c r="D124" s="6" t="s">
        <v>12</v>
      </c>
      <c r="E124" s="6" t="s">
        <v>452</v>
      </c>
      <c r="F124" s="7">
        <v>0.15727611719791859</v>
      </c>
      <c r="G124" s="7">
        <v>9.2488545616191201E-2</v>
      </c>
      <c r="H124" s="7">
        <v>5.4009884161807388E-2</v>
      </c>
      <c r="I124" s="7">
        <v>9.3821091441570997E-2</v>
      </c>
      <c r="J124" s="7">
        <v>0.14224825458253801</v>
      </c>
      <c r="K124" s="7">
        <v>2.1899432575896239E-3</v>
      </c>
      <c r="L124" s="7">
        <v>9.4108725779881275E-2</v>
      </c>
      <c r="M124" s="12">
        <f t="shared" si="2"/>
        <v>9.3474622806788157E-2</v>
      </c>
      <c r="N124" s="7">
        <v>6.8901498313416829E-3</v>
      </c>
      <c r="O124" s="7">
        <v>0.2238056637816071</v>
      </c>
      <c r="P124" s="7">
        <v>3.9687001542765998E-2</v>
      </c>
      <c r="Q124" s="7"/>
      <c r="R124" s="13">
        <f t="shared" si="3"/>
        <v>1</v>
      </c>
      <c r="S124" s="7"/>
      <c r="T124" s="7">
        <v>0</v>
      </c>
      <c r="U124" s="7">
        <v>6.8679235415631618E-2</v>
      </c>
      <c r="V124" s="7">
        <v>3.0659205606254742E-3</v>
      </c>
      <c r="W124" s="7"/>
      <c r="X124" s="7"/>
      <c r="Y124" s="7">
        <v>2.172946683053106E-2</v>
      </c>
      <c r="Z124" s="14">
        <f>IFERROR(IF(INDEX('All GHED Countries'!$D$5:$AB$199,MATCH($B124,'All GHED Countries'!$B$5:$B$199,0),MATCH($D124,'All GHED Countries'!$D$4:$AB$4,0))="","",INDEX('All GHED Countries'!$D$5:$AB$199,MATCH($B124,'All GHED Countries'!$B$5:$B$199,0),MATCH($D124,'All GHED Countries'!$D$4:$AB$4,0))),"")</f>
        <v>9.9688577699999975E-2</v>
      </c>
    </row>
    <row r="125" spans="1:26" x14ac:dyDescent="0.2">
      <c r="A125" s="6" t="s">
        <v>82</v>
      </c>
      <c r="B125" s="6" t="s">
        <v>83</v>
      </c>
      <c r="C125" s="6"/>
      <c r="D125" s="6" t="s">
        <v>11</v>
      </c>
      <c r="E125" s="6" t="s">
        <v>452</v>
      </c>
      <c r="F125" s="7">
        <v>8.5232211658421805E-2</v>
      </c>
      <c r="G125" s="7">
        <v>0.1012426102119979</v>
      </c>
      <c r="H125" s="7">
        <v>2.4107887463820879E-2</v>
      </c>
      <c r="I125" s="7">
        <v>9.8825786464728241E-2</v>
      </c>
      <c r="J125" s="7">
        <v>0.2204666996768275</v>
      </c>
      <c r="K125" s="7">
        <v>2.3826959937123061E-2</v>
      </c>
      <c r="L125" s="7">
        <v>0.1537937039059161</v>
      </c>
      <c r="M125" s="12">
        <f t="shared" si="2"/>
        <v>8.0530910674575448E-2</v>
      </c>
      <c r="N125" s="7">
        <v>1.631991292658368E-2</v>
      </c>
      <c r="O125" s="7">
        <v>0.19035204524768379</v>
      </c>
      <c r="P125" s="7">
        <v>5.3400934754581917E-3</v>
      </c>
      <c r="Q125" s="7"/>
      <c r="R125" s="13">
        <f t="shared" si="3"/>
        <v>1.0000388216431364</v>
      </c>
      <c r="S125" s="7">
        <v>0</v>
      </c>
      <c r="T125" s="7">
        <v>5.4600170603475377E-2</v>
      </c>
      <c r="U125" s="7">
        <v>2.5930740071100071E-2</v>
      </c>
      <c r="V125" s="7">
        <v>0</v>
      </c>
      <c r="W125" s="7">
        <v>0</v>
      </c>
      <c r="X125" s="7">
        <v>0</v>
      </c>
      <c r="Y125" s="7"/>
      <c r="Z125" s="14">
        <f>IFERROR(IF(INDEX('All GHED Countries'!$D$5:$AB$199,MATCH($B125,'All GHED Countries'!$B$5:$B$199,0),MATCH($D125,'All GHED Countries'!$D$4:$AB$4,0))="","",INDEX('All GHED Countries'!$D$5:$AB$199,MATCH($B125,'All GHED Countries'!$B$5:$B$199,0),MATCH($D125,'All GHED Countries'!$D$4:$AB$4,0))),"")</f>
        <v>0.1420312977</v>
      </c>
    </row>
    <row r="126" spans="1:26" x14ac:dyDescent="0.2">
      <c r="A126" s="6" t="s">
        <v>82</v>
      </c>
      <c r="B126" s="6" t="s">
        <v>83</v>
      </c>
      <c r="C126" s="6"/>
      <c r="D126" s="6" t="s">
        <v>12</v>
      </c>
      <c r="E126" s="6" t="s">
        <v>452</v>
      </c>
      <c r="F126" s="7">
        <v>8.0535953976053565E-2</v>
      </c>
      <c r="G126" s="7">
        <v>9.3101467563891552E-2</v>
      </c>
      <c r="H126" s="7">
        <v>2.4461382325542642E-2</v>
      </c>
      <c r="I126" s="7">
        <v>9.4544924240845957E-2</v>
      </c>
      <c r="J126" s="7">
        <v>0.17975946356983211</v>
      </c>
      <c r="K126" s="7">
        <v>2.0881014526828948E-2</v>
      </c>
      <c r="L126" s="7">
        <v>0.13715814630400691</v>
      </c>
      <c r="M126" s="12">
        <f t="shared" si="2"/>
        <v>7.5916892609799433E-2</v>
      </c>
      <c r="N126" s="7">
        <v>1.6133976589216038E-2</v>
      </c>
      <c r="O126" s="7">
        <v>0.19067913892600871</v>
      </c>
      <c r="P126" s="7">
        <v>8.7041925720017024E-2</v>
      </c>
      <c r="Q126" s="7"/>
      <c r="R126" s="13">
        <f t="shared" si="3"/>
        <v>1.0002142863520429</v>
      </c>
      <c r="S126" s="7"/>
      <c r="T126" s="7">
        <v>5.2571585034479271E-2</v>
      </c>
      <c r="U126" s="7">
        <v>1.5836356655823381E-2</v>
      </c>
      <c r="V126" s="7">
        <v>4.4345370075506098E-4</v>
      </c>
      <c r="W126" s="7"/>
      <c r="X126" s="7"/>
      <c r="Y126" s="7">
        <v>7.0654972187417188E-3</v>
      </c>
      <c r="Z126" s="14">
        <f>IFERROR(IF(INDEX('All GHED Countries'!$D$5:$AB$199,MATCH($B126,'All GHED Countries'!$B$5:$B$199,0),MATCH($D126,'All GHED Countries'!$D$4:$AB$4,0))="","",INDEX('All GHED Countries'!$D$5:$AB$199,MATCH($B126,'All GHED Countries'!$B$5:$B$199,0),MATCH($D126,'All GHED Countries'!$D$4:$AB$4,0))),"")</f>
        <v>0.145871048</v>
      </c>
    </row>
    <row r="127" spans="1:26" x14ac:dyDescent="0.2">
      <c r="A127" s="6" t="s">
        <v>82</v>
      </c>
      <c r="B127" s="6" t="s">
        <v>83</v>
      </c>
      <c r="C127" s="6"/>
      <c r="D127" s="6" t="s">
        <v>13</v>
      </c>
      <c r="E127" s="6" t="s">
        <v>452</v>
      </c>
      <c r="F127" s="7">
        <v>8.9931984733995413E-2</v>
      </c>
      <c r="G127" s="7">
        <v>0.10279129269431871</v>
      </c>
      <c r="H127" s="7">
        <v>2.3290559650233109E-2</v>
      </c>
      <c r="I127" s="7">
        <v>9.7127616686757165E-2</v>
      </c>
      <c r="J127" s="7">
        <v>0.18388568919102949</v>
      </c>
      <c r="K127" s="7">
        <v>1.7433712315080611E-2</v>
      </c>
      <c r="L127" s="7">
        <v>0.1297950345304662</v>
      </c>
      <c r="M127" s="12">
        <f t="shared" si="2"/>
        <v>7.098241408434712E-2</v>
      </c>
      <c r="N127" s="7">
        <v>1.542419392111394E-2</v>
      </c>
      <c r="O127" s="7">
        <v>0.1858174024669387</v>
      </c>
      <c r="P127" s="7">
        <v>8.3538550377756968E-2</v>
      </c>
      <c r="Q127" s="7"/>
      <c r="R127" s="13">
        <f t="shared" si="3"/>
        <v>1.0000184506520373</v>
      </c>
      <c r="S127" s="7"/>
      <c r="T127" s="7">
        <v>5.3127480957714093E-2</v>
      </c>
      <c r="U127" s="7">
        <v>8.8671005234443531E-3</v>
      </c>
      <c r="V127" s="7">
        <v>4.2926961686871298E-4</v>
      </c>
      <c r="W127" s="7"/>
      <c r="X127" s="7"/>
      <c r="Y127" s="7">
        <v>8.5585629863199671E-3</v>
      </c>
      <c r="Z127" s="14">
        <f>IFERROR(IF(INDEX('All GHED Countries'!$D$5:$AB$199,MATCH($B127,'All GHED Countries'!$B$5:$B$199,0),MATCH($D127,'All GHED Countries'!$D$4:$AB$4,0))="","",INDEX('All GHED Countries'!$D$5:$AB$199,MATCH($B127,'All GHED Countries'!$B$5:$B$199,0),MATCH($D127,'All GHED Countries'!$D$4:$AB$4,0))),"")</f>
        <v>0.14230330469999991</v>
      </c>
    </row>
    <row r="128" spans="1:26" x14ac:dyDescent="0.2">
      <c r="A128" s="6" t="s">
        <v>82</v>
      </c>
      <c r="B128" s="6" t="s">
        <v>83</v>
      </c>
      <c r="C128" s="6"/>
      <c r="D128" s="6" t="s">
        <v>14</v>
      </c>
      <c r="E128" s="6" t="s">
        <v>452</v>
      </c>
      <c r="F128" s="7">
        <v>8.6735081709719497E-2</v>
      </c>
      <c r="G128" s="7">
        <v>9.8717873744596715E-2</v>
      </c>
      <c r="H128" s="7">
        <v>2.2520373136040821E-2</v>
      </c>
      <c r="I128" s="7">
        <v>0.110022911686422</v>
      </c>
      <c r="J128" s="7">
        <v>0.175615554133107</v>
      </c>
      <c r="K128" s="7">
        <v>7.6994858365087536E-3</v>
      </c>
      <c r="L128" s="7">
        <v>0.12105884138541791</v>
      </c>
      <c r="M128" s="12">
        <f t="shared" si="2"/>
        <v>7.3683331932492047E-2</v>
      </c>
      <c r="N128" s="7">
        <v>1.496790013589259E-2</v>
      </c>
      <c r="O128" s="7">
        <v>0.19555946501835489</v>
      </c>
      <c r="P128" s="7">
        <v>9.3422919892628714E-2</v>
      </c>
      <c r="Q128" s="7"/>
      <c r="R128" s="13">
        <f t="shared" si="3"/>
        <v>1.0000037386111809</v>
      </c>
      <c r="S128" s="7"/>
      <c r="T128" s="7">
        <v>5.5274334728567541E-2</v>
      </c>
      <c r="U128" s="7">
        <v>7.706961065476239E-3</v>
      </c>
      <c r="V128" s="7">
        <v>5.2575777071305703E-4</v>
      </c>
      <c r="W128" s="7"/>
      <c r="X128" s="7"/>
      <c r="Y128" s="7">
        <v>1.0176278367735211E-2</v>
      </c>
      <c r="Z128" s="14">
        <f>IFERROR(IF(INDEX('All GHED Countries'!$D$5:$AB$199,MATCH($B128,'All GHED Countries'!$B$5:$B$199,0),MATCH($D128,'All GHED Countries'!$D$4:$AB$4,0))="","",INDEX('All GHED Countries'!$D$5:$AB$199,MATCH($B128,'All GHED Countries'!$B$5:$B$199,0),MATCH($D128,'All GHED Countries'!$D$4:$AB$4,0))),"")</f>
        <v>0.15491264339999999</v>
      </c>
    </row>
    <row r="129" spans="1:26" x14ac:dyDescent="0.2">
      <c r="A129" s="6" t="s">
        <v>82</v>
      </c>
      <c r="B129" s="6" t="s">
        <v>83</v>
      </c>
      <c r="C129" s="6"/>
      <c r="D129" s="6" t="s">
        <v>16</v>
      </c>
      <c r="E129" s="6" t="s">
        <v>452</v>
      </c>
      <c r="F129" s="7">
        <v>0.12635853059405591</v>
      </c>
      <c r="G129" s="7">
        <v>0.10008649055244399</v>
      </c>
      <c r="H129" s="7">
        <v>2.0204805507085099E-2</v>
      </c>
      <c r="I129" s="7">
        <v>9.431947034153168E-2</v>
      </c>
      <c r="J129" s="7">
        <v>0.14490501261724051</v>
      </c>
      <c r="K129" s="7">
        <v>6.2985969807325256E-3</v>
      </c>
      <c r="L129" s="7">
        <v>0.1080744794007374</v>
      </c>
      <c r="M129" s="12">
        <f t="shared" si="2"/>
        <v>8.887214707309149E-2</v>
      </c>
      <c r="N129" s="7">
        <v>1.419825133275944E-2</v>
      </c>
      <c r="O129" s="7">
        <v>0.20631892221135431</v>
      </c>
      <c r="P129" s="7">
        <v>0.1314544737179057</v>
      </c>
      <c r="Q129" s="7"/>
      <c r="R129" s="13">
        <f t="shared" si="3"/>
        <v>1.041091180328938</v>
      </c>
      <c r="S129" s="7"/>
      <c r="T129" s="7">
        <v>7.7173865012197928E-3</v>
      </c>
      <c r="U129" s="7">
        <v>1.25143449383709E-2</v>
      </c>
      <c r="V129" s="7">
        <v>1.84836170523042E-2</v>
      </c>
      <c r="W129" s="7"/>
      <c r="X129" s="7"/>
      <c r="Y129" s="7">
        <v>5.0156798581196593E-2</v>
      </c>
      <c r="Z129" s="14">
        <f>IFERROR(IF(INDEX('All GHED Countries'!$D$5:$AB$199,MATCH($B129,'All GHED Countries'!$B$5:$B$199,0),MATCH($D129,'All GHED Countries'!$D$4:$AB$4,0))="","",INDEX('All GHED Countries'!$D$5:$AB$199,MATCH($B129,'All GHED Countries'!$B$5:$B$199,0),MATCH($D129,'All GHED Countries'!$D$4:$AB$4,0))),"")</f>
        <v>0.14248166079999999</v>
      </c>
    </row>
    <row r="130" spans="1:26" x14ac:dyDescent="0.2">
      <c r="A130" s="6" t="s">
        <v>82</v>
      </c>
      <c r="B130" s="6" t="s">
        <v>83</v>
      </c>
      <c r="C130" s="6"/>
      <c r="D130" s="6" t="s">
        <v>17</v>
      </c>
      <c r="E130" s="6" t="s">
        <v>452</v>
      </c>
      <c r="F130" s="7">
        <v>0.13103406483163529</v>
      </c>
      <c r="G130" s="7">
        <v>0.1008441030876686</v>
      </c>
      <c r="H130" s="7">
        <v>2.269393759515893E-2</v>
      </c>
      <c r="I130" s="7">
        <v>9.8166973016288003E-2</v>
      </c>
      <c r="J130" s="7">
        <v>0.17140812687643461</v>
      </c>
      <c r="K130" s="7">
        <v>1.0554311537112291E-2</v>
      </c>
      <c r="L130" s="7">
        <v>0.1053696921417222</v>
      </c>
      <c r="M130" s="12">
        <f t="shared" si="2"/>
        <v>7.6994258748589284E-2</v>
      </c>
      <c r="N130" s="7">
        <v>1.7528941415182561E-2</v>
      </c>
      <c r="O130" s="7">
        <v>0.20379114489680469</v>
      </c>
      <c r="P130" s="7">
        <v>0.11001818870370091</v>
      </c>
      <c r="Q130" s="7"/>
      <c r="R130" s="13">
        <f t="shared" si="3"/>
        <v>1.0484037428502972</v>
      </c>
      <c r="S130" s="7"/>
      <c r="T130" s="7">
        <v>3.787035520281941E-3</v>
      </c>
      <c r="U130" s="7">
        <v>1.460902204190395E-2</v>
      </c>
      <c r="V130" s="7">
        <v>2.295030236905557E-2</v>
      </c>
      <c r="W130" s="7"/>
      <c r="X130" s="7"/>
      <c r="Y130" s="7">
        <v>3.5647898817347833E-2</v>
      </c>
      <c r="Z130" s="14">
        <f>IFERROR(IF(INDEX('All GHED Countries'!$D$5:$AB$199,MATCH($B130,'All GHED Countries'!$B$5:$B$199,0),MATCH($D130,'All GHED Countries'!$D$4:$AB$4,0))="","",INDEX('All GHED Countries'!$D$5:$AB$199,MATCH($B130,'All GHED Countries'!$B$5:$B$199,0),MATCH($D130,'All GHED Countries'!$D$4:$AB$4,0))),"")</f>
        <v>0.13759574890000001</v>
      </c>
    </row>
    <row r="131" spans="1:26" x14ac:dyDescent="0.2">
      <c r="A131" s="6" t="s">
        <v>82</v>
      </c>
      <c r="B131" s="6" t="s">
        <v>83</v>
      </c>
      <c r="C131" s="6"/>
      <c r="D131" s="6" t="s">
        <v>19</v>
      </c>
      <c r="E131" s="6" t="s">
        <v>452</v>
      </c>
      <c r="F131" s="7">
        <v>7.2858460784796422E-2</v>
      </c>
      <c r="G131" s="7">
        <v>0.1114730027014271</v>
      </c>
      <c r="H131" s="7">
        <v>2.6384355324764248E-2</v>
      </c>
      <c r="I131" s="7">
        <v>0.1105897078456051</v>
      </c>
      <c r="J131" s="7">
        <v>0.12824329676150581</v>
      </c>
      <c r="K131" s="7">
        <v>9.8190842985138114E-3</v>
      </c>
      <c r="L131" s="7">
        <v>0.1206181505934793</v>
      </c>
      <c r="M131" s="12">
        <f t="shared" si="2"/>
        <v>8.5198507478963639E-2</v>
      </c>
      <c r="N131" s="7">
        <v>1.5291817978901331E-2</v>
      </c>
      <c r="O131" s="7">
        <v>0.21385533043383409</v>
      </c>
      <c r="P131" s="7">
        <v>0.1116762955001367</v>
      </c>
      <c r="Q131" s="7"/>
      <c r="R131" s="13">
        <f t="shared" si="3"/>
        <v>1.0060080097019275</v>
      </c>
      <c r="S131" s="7"/>
      <c r="T131" s="7">
        <v>8.4245147928570484E-3</v>
      </c>
      <c r="U131" s="7">
        <v>3.6483737712504363E-2</v>
      </c>
      <c r="V131" s="7">
        <v>2.981195109487101E-2</v>
      </c>
      <c r="W131" s="7"/>
      <c r="X131" s="7"/>
      <c r="Y131" s="7">
        <v>1.0478303878731211E-2</v>
      </c>
      <c r="Z131" s="14">
        <f>IFERROR(IF(INDEX('All GHED Countries'!$D$5:$AB$199,MATCH($B131,'All GHED Countries'!$B$5:$B$199,0),MATCH($D131,'All GHED Countries'!$D$4:$AB$4,0))="","",INDEX('All GHED Countries'!$D$5:$AB$199,MATCH($B131,'All GHED Countries'!$B$5:$B$199,0),MATCH($D131,'All GHED Countries'!$D$4:$AB$4,0))),"")</f>
        <v>0.15827068329999999</v>
      </c>
    </row>
    <row r="132" spans="1:26" x14ac:dyDescent="0.2">
      <c r="A132" s="6" t="s">
        <v>82</v>
      </c>
      <c r="B132" s="6" t="s">
        <v>83</v>
      </c>
      <c r="C132" s="6"/>
      <c r="D132" s="6" t="s">
        <v>20</v>
      </c>
      <c r="E132" s="6" t="s">
        <v>453</v>
      </c>
      <c r="F132" s="7">
        <v>0.1054083466041511</v>
      </c>
      <c r="G132" s="7">
        <v>7.4384456257562417E-2</v>
      </c>
      <c r="H132" s="7">
        <v>1.9386748872026009E-2</v>
      </c>
      <c r="I132" s="7">
        <v>0.1029213476969896</v>
      </c>
      <c r="J132" s="7">
        <v>0.1477799143820607</v>
      </c>
      <c r="K132" s="7">
        <v>1.592846615679791E-2</v>
      </c>
      <c r="L132" s="7">
        <v>3.9378767029975871E-2</v>
      </c>
      <c r="M132" s="12">
        <f t="shared" si="2"/>
        <v>0.12737047142751051</v>
      </c>
      <c r="N132" s="7">
        <v>2.114812398111034E-2</v>
      </c>
      <c r="O132" s="7">
        <v>0.18516087990103519</v>
      </c>
      <c r="P132" s="7">
        <v>0.1611324776907804</v>
      </c>
      <c r="Q132" s="7"/>
      <c r="R132" s="13">
        <f t="shared" si="3"/>
        <v>1</v>
      </c>
      <c r="S132" s="7">
        <v>3.1925162185199199E-4</v>
      </c>
      <c r="T132" s="7">
        <v>4.4571384202468541E-2</v>
      </c>
      <c r="U132" s="7">
        <v>3.1441077717539297E-2</v>
      </c>
      <c r="V132" s="7">
        <v>2.3587389344543241E-2</v>
      </c>
      <c r="W132" s="7">
        <v>4.6759020767221998E-5</v>
      </c>
      <c r="X132" s="7">
        <v>2.7404609520340208E-2</v>
      </c>
      <c r="Y132" s="7"/>
      <c r="Z132" s="14">
        <f>IFERROR(IF(INDEX('All GHED Countries'!$D$5:$AB$199,MATCH($B132,'All GHED Countries'!$B$5:$B$199,0),MATCH($D132,'All GHED Countries'!$D$4:$AB$4,0))="","",INDEX('All GHED Countries'!$D$5:$AB$199,MATCH($B132,'All GHED Countries'!$B$5:$B$199,0),MATCH($D132,'All GHED Countries'!$D$4:$AB$4,0))),"")</f>
        <v>0.16460300450000001</v>
      </c>
    </row>
    <row r="133" spans="1:26" x14ac:dyDescent="0.2">
      <c r="A133" s="6" t="s">
        <v>82</v>
      </c>
      <c r="B133" s="6" t="s">
        <v>83</v>
      </c>
      <c r="C133" s="6"/>
      <c r="D133" s="6" t="s">
        <v>21</v>
      </c>
      <c r="E133" s="6" t="s">
        <v>453</v>
      </c>
      <c r="F133" s="7">
        <v>9.6545911957727076E-2</v>
      </c>
      <c r="G133" s="7">
        <v>8.7594317973968022E-2</v>
      </c>
      <c r="H133" s="7">
        <v>1.9270100218581301E-2</v>
      </c>
      <c r="I133" s="7">
        <v>0.1050479662851057</v>
      </c>
      <c r="J133" s="7">
        <v>0.1140342828389045</v>
      </c>
      <c r="K133" s="7">
        <v>1.8033611895780541E-2</v>
      </c>
      <c r="L133" s="7">
        <v>3.1924956642956907E-2</v>
      </c>
      <c r="M133" s="12">
        <f t="shared" ref="M133:M196" si="4">SUM(S133:Y133)</f>
        <v>0.1213315556508827</v>
      </c>
      <c r="N133" s="7">
        <v>2.2456791944415529E-2</v>
      </c>
      <c r="O133" s="7">
        <v>0.20396257691819519</v>
      </c>
      <c r="P133" s="7">
        <v>0.17979792767348249</v>
      </c>
      <c r="Q133" s="7"/>
      <c r="R133" s="13">
        <f t="shared" ref="R133:R196" si="5">SUM(F133:Q133)</f>
        <v>0.99999999999999989</v>
      </c>
      <c r="S133" s="7">
        <v>3.2274094493432003E-5</v>
      </c>
      <c r="T133" s="7">
        <v>3.6541804887810309E-2</v>
      </c>
      <c r="U133" s="7">
        <v>2.4791230552710479E-2</v>
      </c>
      <c r="V133" s="7">
        <v>4.8011439527897437E-2</v>
      </c>
      <c r="W133" s="7">
        <v>1.15812297349248E-4</v>
      </c>
      <c r="X133" s="7">
        <v>1.1838994290621791E-2</v>
      </c>
      <c r="Y133" s="7"/>
      <c r="Z133" s="14">
        <f>IFERROR(IF(INDEX('All GHED Countries'!$D$5:$AB$199,MATCH($B133,'All GHED Countries'!$B$5:$B$199,0),MATCH($D133,'All GHED Countries'!$D$4:$AB$4,0))="","",INDEX('All GHED Countries'!$D$5:$AB$199,MATCH($B133,'All GHED Countries'!$B$5:$B$199,0),MATCH($D133,'All GHED Countries'!$D$4:$AB$4,0))),"")</f>
        <v>0.1810749817</v>
      </c>
    </row>
    <row r="134" spans="1:26" x14ac:dyDescent="0.2">
      <c r="A134" s="6" t="s">
        <v>82</v>
      </c>
      <c r="B134" s="6" t="s">
        <v>83</v>
      </c>
      <c r="C134" s="6"/>
      <c r="D134" s="6" t="s">
        <v>22</v>
      </c>
      <c r="E134" s="6" t="s">
        <v>453</v>
      </c>
      <c r="F134" s="7">
        <v>0.111861554238884</v>
      </c>
      <c r="G134" s="7">
        <v>8.7943296210175145E-2</v>
      </c>
      <c r="H134" s="7">
        <v>2.1162915301661232E-2</v>
      </c>
      <c r="I134" s="7">
        <v>0.112163706146043</v>
      </c>
      <c r="J134" s="7">
        <v>9.2575118479946761E-2</v>
      </c>
      <c r="K134" s="7">
        <v>1.825277249537878E-2</v>
      </c>
      <c r="L134" s="7">
        <v>2.6649736488915832E-2</v>
      </c>
      <c r="M134" s="12">
        <f t="shared" si="4"/>
        <v>0.13959408363908582</v>
      </c>
      <c r="N134" s="7">
        <v>2.159205561292742E-2</v>
      </c>
      <c r="O134" s="7">
        <v>0.20182096431049959</v>
      </c>
      <c r="P134" s="7">
        <v>0.1663837970764824</v>
      </c>
      <c r="Q134" s="7"/>
      <c r="R134" s="13">
        <f t="shared" si="5"/>
        <v>1</v>
      </c>
      <c r="S134" s="7">
        <v>4.8633770348377001E-5</v>
      </c>
      <c r="T134" s="7">
        <v>3.4470616116099619E-2</v>
      </c>
      <c r="U134" s="7">
        <v>2.5992836806516598E-2</v>
      </c>
      <c r="V134" s="7">
        <v>5.0598498711717767E-2</v>
      </c>
      <c r="W134" s="7">
        <v>1.3182050985257E-5</v>
      </c>
      <c r="X134" s="7">
        <v>2.84703161834182E-2</v>
      </c>
      <c r="Y134" s="7"/>
      <c r="Z134" s="14">
        <f>IFERROR(IF(INDEX('All GHED Countries'!$D$5:$AB$199,MATCH($B134,'All GHED Countries'!$B$5:$B$199,0),MATCH($D134,'All GHED Countries'!$D$4:$AB$4,0))="","",INDEX('All GHED Countries'!$D$5:$AB$199,MATCH($B134,'All GHED Countries'!$B$5:$B$199,0),MATCH($D134,'All GHED Countries'!$D$4:$AB$4,0))),"")</f>
        <v>0.1820531464</v>
      </c>
    </row>
    <row r="135" spans="1:26" x14ac:dyDescent="0.2">
      <c r="A135" s="6" t="s">
        <v>82</v>
      </c>
      <c r="B135" s="6" t="s">
        <v>83</v>
      </c>
      <c r="C135" s="6"/>
      <c r="D135" s="6" t="s">
        <v>23</v>
      </c>
      <c r="E135" s="6" t="s">
        <v>453</v>
      </c>
      <c r="F135" s="7">
        <v>0.10910567365437911</v>
      </c>
      <c r="G135" s="7">
        <v>8.5008461333144325E-2</v>
      </c>
      <c r="H135" s="7">
        <v>1.752249127614296E-2</v>
      </c>
      <c r="I135" s="7">
        <v>0.1121204687932788</v>
      </c>
      <c r="J135" s="7">
        <v>9.7639915843826641E-2</v>
      </c>
      <c r="K135" s="7">
        <v>1.9055666767200049E-2</v>
      </c>
      <c r="L135" s="7">
        <v>2.918194730883342E-2</v>
      </c>
      <c r="M135" s="12">
        <f t="shared" si="4"/>
        <v>0.1302545949268071</v>
      </c>
      <c r="N135" s="7">
        <v>2.245949009414196E-2</v>
      </c>
      <c r="O135" s="7">
        <v>0.20007743080985149</v>
      </c>
      <c r="P135" s="7">
        <v>0.1775738591923941</v>
      </c>
      <c r="Q135" s="7"/>
      <c r="R135" s="13">
        <f t="shared" si="5"/>
        <v>1</v>
      </c>
      <c r="S135" s="7">
        <v>4.8506970222807998E-5</v>
      </c>
      <c r="T135" s="7">
        <v>3.204347386543132E-2</v>
      </c>
      <c r="U135" s="7">
        <v>2.489865181476543E-2</v>
      </c>
      <c r="V135" s="7">
        <v>4.6319581403491149E-2</v>
      </c>
      <c r="W135" s="7">
        <v>7.8081267549072009E-5</v>
      </c>
      <c r="X135" s="7">
        <v>2.6866299605347331E-2</v>
      </c>
      <c r="Y135" s="7"/>
      <c r="Z135" s="14">
        <f>IFERROR(IF(INDEX('All GHED Countries'!$D$5:$AB$199,MATCH($B135,'All GHED Countries'!$B$5:$B$199,0),MATCH($D135,'All GHED Countries'!$D$4:$AB$4,0))="","",INDEX('All GHED Countries'!$D$5:$AB$199,MATCH($B135,'All GHED Countries'!$B$5:$B$199,0),MATCH($D135,'All GHED Countries'!$D$4:$AB$4,0))),"")</f>
        <v>0.1721218491</v>
      </c>
    </row>
    <row r="136" spans="1:26" x14ac:dyDescent="0.2">
      <c r="A136" s="6" t="s">
        <v>82</v>
      </c>
      <c r="B136" s="6" t="s">
        <v>83</v>
      </c>
      <c r="C136" s="6"/>
      <c r="D136" s="6" t="s">
        <v>24</v>
      </c>
      <c r="E136" s="6" t="s">
        <v>453</v>
      </c>
      <c r="F136" s="7">
        <v>0.1053183728405714</v>
      </c>
      <c r="G136" s="7">
        <v>8.2921029678052344E-2</v>
      </c>
      <c r="H136" s="7">
        <v>1.6614375290861759E-2</v>
      </c>
      <c r="I136" s="7">
        <v>0.1122587284573114</v>
      </c>
      <c r="J136" s="7">
        <v>0.111911594826896</v>
      </c>
      <c r="K136" s="7">
        <v>2.0844970806046741E-2</v>
      </c>
      <c r="L136" s="7">
        <v>2.8962152052296509E-2</v>
      </c>
      <c r="M136" s="12">
        <f t="shared" si="4"/>
        <v>0.12832357678595094</v>
      </c>
      <c r="N136" s="7">
        <v>2.3759532905822851E-2</v>
      </c>
      <c r="O136" s="7">
        <v>0.20389456799964739</v>
      </c>
      <c r="P136" s="7">
        <v>0.16519109835654261</v>
      </c>
      <c r="Q136" s="7"/>
      <c r="R136" s="13">
        <f t="shared" si="5"/>
        <v>1</v>
      </c>
      <c r="S136" s="7">
        <v>2.3692168831537799E-4</v>
      </c>
      <c r="T136" s="7">
        <v>2.7950048755957201E-2</v>
      </c>
      <c r="U136" s="7">
        <v>2.1859675051013699E-2</v>
      </c>
      <c r="V136" s="7">
        <v>4.747059142451595E-2</v>
      </c>
      <c r="W136" s="7">
        <v>1.0798943842140001E-5</v>
      </c>
      <c r="X136" s="7">
        <v>3.0795540922306571E-2</v>
      </c>
      <c r="Y136" s="7"/>
      <c r="Z136" s="14">
        <f>IFERROR(IF(INDEX('All GHED Countries'!$D$5:$AB$199,MATCH($B136,'All GHED Countries'!$B$5:$B$199,0),MATCH($D136,'All GHED Countries'!$D$4:$AB$4,0))="","",INDEX('All GHED Countries'!$D$5:$AB$199,MATCH($B136,'All GHED Countries'!$B$5:$B$199,0),MATCH($D136,'All GHED Countries'!$D$4:$AB$4,0))),"")</f>
        <v>0.1667445374</v>
      </c>
    </row>
    <row r="137" spans="1:26" x14ac:dyDescent="0.2">
      <c r="A137" s="6" t="s">
        <v>82</v>
      </c>
      <c r="B137" s="6" t="s">
        <v>83</v>
      </c>
      <c r="C137" s="6"/>
      <c r="D137" s="6" t="s">
        <v>25</v>
      </c>
      <c r="E137" s="6" t="s">
        <v>453</v>
      </c>
      <c r="F137" s="7">
        <v>0.1033544746777558</v>
      </c>
      <c r="G137" s="7">
        <v>8.5514861320430471E-2</v>
      </c>
      <c r="H137" s="7">
        <v>1.7294311206817629E-2</v>
      </c>
      <c r="I137" s="7">
        <v>0.1039818233480983</v>
      </c>
      <c r="J137" s="7">
        <v>0.11113969447464681</v>
      </c>
      <c r="K137" s="7">
        <v>2.459707193168675E-2</v>
      </c>
      <c r="L137" s="7">
        <v>3.4976415258004441E-2</v>
      </c>
      <c r="M137" s="12">
        <f t="shared" si="4"/>
        <v>0.13201236594537816</v>
      </c>
      <c r="N137" s="7">
        <v>2.366909119578808E-2</v>
      </c>
      <c r="O137" s="7">
        <v>0.20361593016729729</v>
      </c>
      <c r="P137" s="7">
        <v>0.15984396047409619</v>
      </c>
      <c r="Q137" s="7"/>
      <c r="R137" s="13">
        <f t="shared" si="5"/>
        <v>1</v>
      </c>
      <c r="S137" s="7">
        <v>3.8770896949068398E-4</v>
      </c>
      <c r="T137" s="7">
        <v>2.2251876219973661E-2</v>
      </c>
      <c r="U137" s="7">
        <v>2.3383268360803951E-2</v>
      </c>
      <c r="V137" s="7">
        <v>5.0782605728437423E-2</v>
      </c>
      <c r="W137" s="7">
        <v>1.1076189248218E-4</v>
      </c>
      <c r="X137" s="7">
        <v>3.509614477419027E-2</v>
      </c>
      <c r="Y137" s="7"/>
      <c r="Z137" s="14">
        <f>IFERROR(IF(INDEX('All GHED Countries'!$D$5:$AB$199,MATCH($B137,'All GHED Countries'!$B$5:$B$199,0),MATCH($D137,'All GHED Countries'!$D$4:$AB$4,0))="","",INDEX('All GHED Countries'!$D$5:$AB$199,MATCH($B137,'All GHED Countries'!$B$5:$B$199,0),MATCH($D137,'All GHED Countries'!$D$4:$AB$4,0))),"")</f>
        <v>0.17651401520000001</v>
      </c>
    </row>
    <row r="138" spans="1:26" x14ac:dyDescent="0.2">
      <c r="A138" s="6" t="s">
        <v>82</v>
      </c>
      <c r="B138" s="6" t="s">
        <v>83</v>
      </c>
      <c r="C138" s="6"/>
      <c r="D138" s="6" t="s">
        <v>26</v>
      </c>
      <c r="E138" s="6" t="s">
        <v>453</v>
      </c>
      <c r="F138" s="7">
        <v>0.1099052867331375</v>
      </c>
      <c r="G138" s="7">
        <v>8.5356063718644265E-2</v>
      </c>
      <c r="H138" s="7">
        <v>1.547408838540712E-2</v>
      </c>
      <c r="I138" s="7">
        <v>0.1018924821402403</v>
      </c>
      <c r="J138" s="7">
        <v>9.124303498325563E-2</v>
      </c>
      <c r="K138" s="7">
        <v>1.952609682446169E-2</v>
      </c>
      <c r="L138" s="7">
        <v>2.513527744700628E-2</v>
      </c>
      <c r="M138" s="12">
        <f t="shared" si="4"/>
        <v>0.12234785868950335</v>
      </c>
      <c r="N138" s="7">
        <v>1.704321355742025E-2</v>
      </c>
      <c r="O138" s="7">
        <v>0.18888105722540641</v>
      </c>
      <c r="P138" s="7">
        <v>0.22319554029551719</v>
      </c>
      <c r="Q138" s="7"/>
      <c r="R138" s="13">
        <f t="shared" si="5"/>
        <v>1</v>
      </c>
      <c r="S138" s="7">
        <v>2.7815034272891899E-4</v>
      </c>
      <c r="T138" s="7">
        <v>1.9420111893669208E-2</v>
      </c>
      <c r="U138" s="7">
        <v>2.2217492503451841E-2</v>
      </c>
      <c r="V138" s="7">
        <v>4.203719911078533E-2</v>
      </c>
      <c r="W138" s="7">
        <v>4.8970207962347999E-5</v>
      </c>
      <c r="X138" s="7">
        <v>3.8345934630905687E-2</v>
      </c>
      <c r="Y138" s="7"/>
      <c r="Z138" s="14">
        <f>IFERROR(IF(INDEX('All GHED Countries'!$D$5:$AB$199,MATCH($B138,'All GHED Countries'!$B$5:$B$199,0),MATCH($D138,'All GHED Countries'!$D$4:$AB$4,0))="","",INDEX('All GHED Countries'!$D$5:$AB$199,MATCH($B138,'All GHED Countries'!$B$5:$B$199,0),MATCH($D138,'All GHED Countries'!$D$4:$AB$4,0))),"")</f>
        <v>0.1586299229</v>
      </c>
    </row>
    <row r="139" spans="1:26" x14ac:dyDescent="0.2">
      <c r="A139" s="6" t="s">
        <v>82</v>
      </c>
      <c r="B139" s="6" t="s">
        <v>83</v>
      </c>
      <c r="C139" s="6"/>
      <c r="D139" s="6" t="s">
        <v>27</v>
      </c>
      <c r="E139" s="6" t="s">
        <v>453</v>
      </c>
      <c r="F139" s="7">
        <v>0.1119991801897901</v>
      </c>
      <c r="G139" s="7">
        <v>9.2924826923081613E-2</v>
      </c>
      <c r="H139" s="7">
        <v>1.5856677682665569E-2</v>
      </c>
      <c r="I139" s="7">
        <v>0.1107382442084324</v>
      </c>
      <c r="J139" s="7">
        <v>0.1059749948147274</v>
      </c>
      <c r="K139" s="7">
        <v>2.123711357883698E-2</v>
      </c>
      <c r="L139" s="7">
        <v>3.4676660516223368E-2</v>
      </c>
      <c r="M139" s="12">
        <f t="shared" si="4"/>
        <v>0.14464931123938229</v>
      </c>
      <c r="N139" s="7">
        <v>2.036914504790921E-2</v>
      </c>
      <c r="O139" s="7">
        <v>0.1938323007922956</v>
      </c>
      <c r="P139" s="7">
        <v>0.14774154500665551</v>
      </c>
      <c r="Q139" s="7"/>
      <c r="R139" s="13">
        <f t="shared" si="5"/>
        <v>1</v>
      </c>
      <c r="S139" s="7">
        <v>2.2084422177860301E-4</v>
      </c>
      <c r="T139" s="7">
        <v>1.711897334615738E-2</v>
      </c>
      <c r="U139" s="7">
        <v>2.3537335234382142E-2</v>
      </c>
      <c r="V139" s="7">
        <v>6.5219181825670158E-2</v>
      </c>
      <c r="W139" s="7">
        <v>1.09912134093972E-4</v>
      </c>
      <c r="X139" s="7">
        <v>3.8443064477300018E-2</v>
      </c>
      <c r="Y139" s="7"/>
      <c r="Z139" s="14">
        <f>IFERROR(IF(INDEX('All GHED Countries'!$D$5:$AB$199,MATCH($B139,'All GHED Countries'!$B$5:$B$199,0),MATCH($D139,'All GHED Countries'!$D$4:$AB$4,0))="","",INDEX('All GHED Countries'!$D$5:$AB$199,MATCH($B139,'All GHED Countries'!$B$5:$B$199,0),MATCH($D139,'All GHED Countries'!$D$4:$AB$4,0))),"")</f>
        <v>0.19772802349999999</v>
      </c>
    </row>
    <row r="140" spans="1:26" x14ac:dyDescent="0.2">
      <c r="A140" s="6" t="s">
        <v>82</v>
      </c>
      <c r="B140" s="6" t="s">
        <v>83</v>
      </c>
      <c r="C140" s="6"/>
      <c r="D140" s="6" t="s">
        <v>28</v>
      </c>
      <c r="E140" s="6" t="s">
        <v>453</v>
      </c>
      <c r="F140" s="7">
        <v>0.1070735352911317</v>
      </c>
      <c r="G140" s="7">
        <v>8.669258057745069E-2</v>
      </c>
      <c r="H140" s="7">
        <v>1.820461764853613E-2</v>
      </c>
      <c r="I140" s="7">
        <v>0.1063224779596858</v>
      </c>
      <c r="J140" s="7">
        <v>0.13232809728145351</v>
      </c>
      <c r="K140" s="7">
        <v>2.041651399226883E-2</v>
      </c>
      <c r="L140" s="7">
        <v>3.2179891118646373E-2</v>
      </c>
      <c r="M140" s="12">
        <f t="shared" si="4"/>
        <v>0.13714905209059602</v>
      </c>
      <c r="N140" s="7">
        <v>2.0335471240510598E-2</v>
      </c>
      <c r="O140" s="7">
        <v>0.18939921733293691</v>
      </c>
      <c r="P140" s="7">
        <v>0.14989854546678349</v>
      </c>
      <c r="Q140" s="7"/>
      <c r="R140" s="13">
        <f t="shared" si="5"/>
        <v>1</v>
      </c>
      <c r="S140" s="7">
        <v>2.79137463052365E-4</v>
      </c>
      <c r="T140" s="7">
        <v>1.8976740689038391E-2</v>
      </c>
      <c r="U140" s="7">
        <v>2.1972364680378179E-2</v>
      </c>
      <c r="V140" s="7">
        <v>5.9268633805249341E-2</v>
      </c>
      <c r="W140" s="7">
        <v>3.9769300558376003E-5</v>
      </c>
      <c r="X140" s="7">
        <v>3.6612406152319352E-2</v>
      </c>
      <c r="Y140" s="7"/>
      <c r="Z140" s="14">
        <f>IFERROR(IF(INDEX('All GHED Countries'!$D$5:$AB$199,MATCH($B140,'All GHED Countries'!$B$5:$B$199,0),MATCH($D140,'All GHED Countries'!$D$4:$AB$4,0))="","",INDEX('All GHED Countries'!$D$5:$AB$199,MATCH($B140,'All GHED Countries'!$B$5:$B$199,0),MATCH($D140,'All GHED Countries'!$D$4:$AB$4,0))),"")</f>
        <v>0.173305397</v>
      </c>
    </row>
    <row r="141" spans="1:26" x14ac:dyDescent="0.2">
      <c r="A141" s="6" t="s">
        <v>82</v>
      </c>
      <c r="B141" s="6" t="s">
        <v>83</v>
      </c>
      <c r="C141" s="6"/>
      <c r="D141" s="6" t="s">
        <v>29</v>
      </c>
      <c r="E141" s="6" t="s">
        <v>453</v>
      </c>
      <c r="F141" s="7">
        <v>0.1082293109235016</v>
      </c>
      <c r="G141" s="7">
        <v>8.6537392302605778E-2</v>
      </c>
      <c r="H141" s="7">
        <v>1.5079990862245349E-2</v>
      </c>
      <c r="I141" s="7">
        <v>0.11380496526643991</v>
      </c>
      <c r="J141" s="7">
        <v>0.1082663452269514</v>
      </c>
      <c r="K141" s="7">
        <v>2.129221404196668E-2</v>
      </c>
      <c r="L141" s="7">
        <v>3.59965775643252E-2</v>
      </c>
      <c r="M141" s="12">
        <f t="shared" si="4"/>
        <v>0.13662906724351007</v>
      </c>
      <c r="N141" s="7">
        <v>2.2416970152528259E-2</v>
      </c>
      <c r="O141" s="7">
        <v>0.1934872061511389</v>
      </c>
      <c r="P141" s="7">
        <v>0.15825996026478689</v>
      </c>
      <c r="Q141" s="7"/>
      <c r="R141" s="13">
        <f t="shared" si="5"/>
        <v>1.0000000000000002</v>
      </c>
      <c r="S141" s="7">
        <v>3.4112377869445297E-4</v>
      </c>
      <c r="T141" s="7">
        <v>2.7134932702261381E-2</v>
      </c>
      <c r="U141" s="7">
        <v>2.350064852768605E-2</v>
      </c>
      <c r="V141" s="7">
        <v>4.7818370451479547E-2</v>
      </c>
      <c r="W141" s="7">
        <v>5.5354924418412002E-5</v>
      </c>
      <c r="X141" s="7">
        <v>3.7778636858970233E-2</v>
      </c>
      <c r="Y141" s="7"/>
      <c r="Z141" s="14">
        <f>IFERROR(IF(INDEX('All GHED Countries'!$D$5:$AB$199,MATCH($B141,'All GHED Countries'!$B$5:$B$199,0),MATCH($D141,'All GHED Countries'!$D$4:$AB$4,0))="","",INDEX('All GHED Countries'!$D$5:$AB$199,MATCH($B141,'All GHED Countries'!$B$5:$B$199,0),MATCH($D141,'All GHED Countries'!$D$4:$AB$4,0))),"")</f>
        <v>0.17754360199999999</v>
      </c>
    </row>
    <row r="142" spans="1:26" x14ac:dyDescent="0.2">
      <c r="A142" s="6" t="s">
        <v>82</v>
      </c>
      <c r="B142" s="6" t="s">
        <v>83</v>
      </c>
      <c r="C142" s="6"/>
      <c r="D142" s="6" t="s">
        <v>30</v>
      </c>
      <c r="E142" s="6" t="s">
        <v>453</v>
      </c>
      <c r="F142" s="7">
        <v>0.1083854447622245</v>
      </c>
      <c r="G142" s="7">
        <v>8.992838884653713E-2</v>
      </c>
      <c r="H142" s="7">
        <v>1.5747095050536349E-2</v>
      </c>
      <c r="I142" s="7">
        <v>0.1156004998255569</v>
      </c>
      <c r="J142" s="7">
        <v>7.6218233355827072E-2</v>
      </c>
      <c r="K142" s="7">
        <v>1.9749456983176612E-2</v>
      </c>
      <c r="L142" s="7">
        <v>3.4765827482178518E-2</v>
      </c>
      <c r="M142" s="12">
        <f t="shared" si="4"/>
        <v>0.15536954542758491</v>
      </c>
      <c r="N142" s="7">
        <v>2.1894430153754529E-2</v>
      </c>
      <c r="O142" s="7">
        <v>0.1931764197121926</v>
      </c>
      <c r="P142" s="7">
        <v>0.1691646584004308</v>
      </c>
      <c r="Q142" s="7"/>
      <c r="R142" s="13">
        <f t="shared" si="5"/>
        <v>0.99999999999999989</v>
      </c>
      <c r="S142" s="7">
        <v>3.12078704313877E-4</v>
      </c>
      <c r="T142" s="7">
        <v>3.127394340961364E-2</v>
      </c>
      <c r="U142" s="7">
        <v>2.6564225267905191E-2</v>
      </c>
      <c r="V142" s="7">
        <v>6.100294859289563E-2</v>
      </c>
      <c r="W142" s="7">
        <v>6.6977476651713006E-5</v>
      </c>
      <c r="X142" s="7">
        <v>3.614937197620486E-2</v>
      </c>
      <c r="Y142" s="7"/>
      <c r="Z142" s="14" t="str">
        <f>IFERROR(IF(INDEX('All GHED Countries'!$D$5:$AB$199,MATCH($B142,'All GHED Countries'!$B$5:$B$199,0),MATCH($D142,'All GHED Countries'!$D$4:$AB$4,0))="","",INDEX('All GHED Countries'!$D$5:$AB$199,MATCH($B142,'All GHED Countries'!$B$5:$B$199,0),MATCH($D142,'All GHED Countries'!$D$4:$AB$4,0))),"")</f>
        <v/>
      </c>
    </row>
    <row r="143" spans="1:26" x14ac:dyDescent="0.2">
      <c r="A143" s="6" t="s">
        <v>84</v>
      </c>
      <c r="B143" s="6" t="s">
        <v>85</v>
      </c>
      <c r="C143" s="6"/>
      <c r="D143" s="6" t="s">
        <v>29</v>
      </c>
      <c r="E143" s="6" t="s">
        <v>452</v>
      </c>
      <c r="F143" s="7">
        <v>0.16593527062305269</v>
      </c>
      <c r="G143" s="7">
        <v>3.3801004480381022E-2</v>
      </c>
      <c r="H143" s="7">
        <v>0.15150897718065151</v>
      </c>
      <c r="I143" s="7">
        <v>3.6676532200544773E-2</v>
      </c>
      <c r="J143" s="7">
        <v>0.25321161532678982</v>
      </c>
      <c r="K143" s="7">
        <v>1.344912510306232E-2</v>
      </c>
      <c r="L143" s="7">
        <v>9.4141822042704285E-2</v>
      </c>
      <c r="M143" s="12">
        <f t="shared" si="4"/>
        <v>4.2631499783904861E-2</v>
      </c>
      <c r="N143" s="7">
        <v>3.0168735959285362E-2</v>
      </c>
      <c r="O143" s="7">
        <v>0.111136448776637</v>
      </c>
      <c r="P143" s="7">
        <v>6.7338968522986403E-2</v>
      </c>
      <c r="Q143" s="7"/>
      <c r="R143" s="13">
        <f t="shared" si="5"/>
        <v>1</v>
      </c>
      <c r="S143" s="7">
        <v>6.0994383700052838E-3</v>
      </c>
      <c r="T143" s="7">
        <v>0</v>
      </c>
      <c r="U143" s="7">
        <v>1.0073210309265449E-2</v>
      </c>
      <c r="V143" s="7">
        <v>1.6547120088346828E-2</v>
      </c>
      <c r="W143" s="7">
        <v>0</v>
      </c>
      <c r="X143" s="7">
        <v>9.9117310162872996E-3</v>
      </c>
      <c r="Y143" s="7"/>
      <c r="Z143" s="14">
        <f>IFERROR(IF(INDEX('All GHED Countries'!$D$5:$AB$199,MATCH($B143,'All GHED Countries'!$B$5:$B$199,0),MATCH($D143,'All GHED Countries'!$D$4:$AB$4,0))="","",INDEX('All GHED Countries'!$D$5:$AB$199,MATCH($B143,'All GHED Countries'!$B$5:$B$199,0),MATCH($D143,'All GHED Countries'!$D$4:$AB$4,0))),"")</f>
        <v>5.1174025499999998E-2</v>
      </c>
    </row>
    <row r="144" spans="1:26" x14ac:dyDescent="0.2">
      <c r="A144" s="6" t="s">
        <v>90</v>
      </c>
      <c r="B144" s="6" t="s">
        <v>91</v>
      </c>
      <c r="C144" s="6"/>
      <c r="D144" s="6" t="s">
        <v>26</v>
      </c>
      <c r="E144" s="6" t="s">
        <v>452</v>
      </c>
      <c r="F144" s="7">
        <v>0.11923894814835399</v>
      </c>
      <c r="G144" s="7">
        <v>0.13759640797105699</v>
      </c>
      <c r="H144" s="7">
        <v>6.1856457255069303E-2</v>
      </c>
      <c r="I144" s="7">
        <v>0.11318961727092899</v>
      </c>
      <c r="J144" s="7">
        <v>0.13219374450013399</v>
      </c>
      <c r="K144" s="7">
        <v>4.4682230839747901E-3</v>
      </c>
      <c r="L144" s="7">
        <v>5.0698001495461907E-2</v>
      </c>
      <c r="M144" s="12">
        <f t="shared" si="4"/>
        <v>0.13698406402682223</v>
      </c>
      <c r="N144" s="7">
        <v>1.7996364462727699E-3</v>
      </c>
      <c r="O144" s="7">
        <v>0.217991284545755</v>
      </c>
      <c r="P144" s="7">
        <v>2.3983615256167601E-2</v>
      </c>
      <c r="Q144" s="7"/>
      <c r="R144" s="13">
        <f t="shared" si="5"/>
        <v>0.99999999999999756</v>
      </c>
      <c r="S144" s="7">
        <v>1.6665940406283401E-3</v>
      </c>
      <c r="T144" s="7">
        <v>3.1244710683285399E-2</v>
      </c>
      <c r="U144" s="7">
        <v>6.4821356059070301E-2</v>
      </c>
      <c r="V144" s="7">
        <v>2.9176572660679898E-3</v>
      </c>
      <c r="W144" s="7">
        <v>0</v>
      </c>
      <c r="X144" s="7">
        <v>3.6333745977770199E-2</v>
      </c>
      <c r="Y144" s="7"/>
      <c r="Z144" s="14">
        <f>IFERROR(IF(INDEX('All GHED Countries'!$D$5:$AB$199,MATCH($B144,'All GHED Countries'!$B$5:$B$199,0),MATCH($D144,'All GHED Countries'!$D$4:$AB$4,0))="","",INDEX('All GHED Countries'!$D$5:$AB$199,MATCH($B144,'All GHED Countries'!$B$5:$B$199,0),MATCH($D144,'All GHED Countries'!$D$4:$AB$4,0))),"")</f>
        <v>0.1234406281</v>
      </c>
    </row>
    <row r="145" spans="1:26" x14ac:dyDescent="0.2">
      <c r="A145" s="6" t="s">
        <v>92</v>
      </c>
      <c r="B145" s="6" t="s">
        <v>93</v>
      </c>
      <c r="C145" s="6"/>
      <c r="D145" s="6" t="s">
        <v>11</v>
      </c>
      <c r="E145" s="6" t="s">
        <v>452</v>
      </c>
      <c r="F145" s="7"/>
      <c r="G145" s="7"/>
      <c r="H145" s="7">
        <v>0.14147813236691181</v>
      </c>
      <c r="I145" s="7">
        <v>6.4828823757081031E-2</v>
      </c>
      <c r="J145" s="7">
        <v>0.171885225713381</v>
      </c>
      <c r="K145" s="7"/>
      <c r="L145" s="7">
        <v>6.5726047640828955E-2</v>
      </c>
      <c r="M145" s="12">
        <f t="shared" si="4"/>
        <v>1.6005770381056258E-2</v>
      </c>
      <c r="N145" s="7"/>
      <c r="O145" s="7">
        <v>3.2080152000281477E-2</v>
      </c>
      <c r="P145" s="7"/>
      <c r="Q145" s="7">
        <v>0.5079958481404595</v>
      </c>
      <c r="R145" s="13">
        <f t="shared" si="5"/>
        <v>1</v>
      </c>
      <c r="S145" s="7"/>
      <c r="T145" s="7"/>
      <c r="U145" s="7"/>
      <c r="V145" s="7"/>
      <c r="W145" s="7"/>
      <c r="X145" s="7"/>
      <c r="Y145" s="7">
        <v>1.6005770381056258E-2</v>
      </c>
      <c r="Z145" s="14">
        <f>IFERROR(IF(INDEX('All GHED Countries'!$D$5:$AB$199,MATCH($B145,'All GHED Countries'!$B$5:$B$199,0),MATCH($D145,'All GHED Countries'!$D$4:$AB$4,0))="","",INDEX('All GHED Countries'!$D$5:$AB$199,MATCH($B145,'All GHED Countries'!$B$5:$B$199,0),MATCH($D145,'All GHED Countries'!$D$4:$AB$4,0))),"")</f>
        <v>2.93604422E-2</v>
      </c>
    </row>
    <row r="146" spans="1:26" x14ac:dyDescent="0.2">
      <c r="A146" s="6" t="s">
        <v>92</v>
      </c>
      <c r="B146" s="6" t="s">
        <v>93</v>
      </c>
      <c r="C146" s="6"/>
      <c r="D146" s="6" t="s">
        <v>12</v>
      </c>
      <c r="E146" s="6" t="s">
        <v>452</v>
      </c>
      <c r="F146" s="7"/>
      <c r="G146" s="7"/>
      <c r="H146" s="7">
        <v>0.1282948322603526</v>
      </c>
      <c r="I146" s="7">
        <v>6.1186951111752291E-2</v>
      </c>
      <c r="J146" s="7">
        <v>0.18255850299653159</v>
      </c>
      <c r="K146" s="7"/>
      <c r="L146" s="7">
        <v>6.3396029069662602E-2</v>
      </c>
      <c r="M146" s="12">
        <f t="shared" si="4"/>
        <v>1.7059491821903229E-2</v>
      </c>
      <c r="N146" s="7"/>
      <c r="O146" s="7">
        <v>3.739503122764623E-2</v>
      </c>
      <c r="P146" s="7"/>
      <c r="Q146" s="7">
        <v>0.51010916151215147</v>
      </c>
      <c r="R146" s="13">
        <f t="shared" si="5"/>
        <v>1</v>
      </c>
      <c r="S146" s="7"/>
      <c r="T146" s="7"/>
      <c r="U146" s="7"/>
      <c r="V146" s="7"/>
      <c r="W146" s="7"/>
      <c r="X146" s="7"/>
      <c r="Y146" s="7">
        <v>1.7059491821903229E-2</v>
      </c>
      <c r="Z146" s="14">
        <f>IFERROR(IF(INDEX('All GHED Countries'!$D$5:$AB$199,MATCH($B146,'All GHED Countries'!$B$5:$B$199,0),MATCH($D146,'All GHED Countries'!$D$4:$AB$4,0))="","",INDEX('All GHED Countries'!$D$5:$AB$199,MATCH($B146,'All GHED Countries'!$B$5:$B$199,0),MATCH($D146,'All GHED Countries'!$D$4:$AB$4,0))),"")</f>
        <v>2.88599753E-2</v>
      </c>
    </row>
    <row r="147" spans="1:26" x14ac:dyDescent="0.2">
      <c r="A147" s="6" t="s">
        <v>92</v>
      </c>
      <c r="B147" s="6" t="s">
        <v>93</v>
      </c>
      <c r="C147" s="6"/>
      <c r="D147" s="6" t="s">
        <v>13</v>
      </c>
      <c r="E147" s="6" t="s">
        <v>452</v>
      </c>
      <c r="F147" s="7"/>
      <c r="G147" s="7"/>
      <c r="H147" s="7">
        <v>0.11848164571215571</v>
      </c>
      <c r="I147" s="7">
        <v>6.6060422507137992E-2</v>
      </c>
      <c r="J147" s="7">
        <v>0.1923479147737715</v>
      </c>
      <c r="K147" s="7"/>
      <c r="L147" s="7">
        <v>6.6795577679239368E-2</v>
      </c>
      <c r="M147" s="12">
        <f t="shared" si="4"/>
        <v>1.913344878375825E-2</v>
      </c>
      <c r="N147" s="7"/>
      <c r="O147" s="7">
        <v>2.2503772847406119E-2</v>
      </c>
      <c r="P147" s="7"/>
      <c r="Q147" s="7">
        <v>0.51467721769653108</v>
      </c>
      <c r="R147" s="13">
        <f t="shared" si="5"/>
        <v>1</v>
      </c>
      <c r="S147" s="7"/>
      <c r="T147" s="7"/>
      <c r="U147" s="7"/>
      <c r="V147" s="7"/>
      <c r="W147" s="7"/>
      <c r="X147" s="7"/>
      <c r="Y147" s="7">
        <v>1.913344878375825E-2</v>
      </c>
      <c r="Z147" s="14">
        <f>IFERROR(IF(INDEX('All GHED Countries'!$D$5:$AB$199,MATCH($B147,'All GHED Countries'!$B$5:$B$199,0),MATCH($D147,'All GHED Countries'!$D$4:$AB$4,0))="","",INDEX('All GHED Countries'!$D$5:$AB$199,MATCH($B147,'All GHED Countries'!$B$5:$B$199,0),MATCH($D147,'All GHED Countries'!$D$4:$AB$4,0))),"")</f>
        <v>2.787342789999999E-2</v>
      </c>
    </row>
    <row r="148" spans="1:26" x14ac:dyDescent="0.2">
      <c r="A148" s="6" t="s">
        <v>92</v>
      </c>
      <c r="B148" s="6" t="s">
        <v>93</v>
      </c>
      <c r="C148" s="6"/>
      <c r="D148" s="6" t="s">
        <v>14</v>
      </c>
      <c r="E148" s="6" t="s">
        <v>452</v>
      </c>
      <c r="F148" s="7"/>
      <c r="G148" s="7"/>
      <c r="H148" s="7">
        <v>0.1161292425140492</v>
      </c>
      <c r="I148" s="7">
        <v>6.4022421698207363E-2</v>
      </c>
      <c r="J148" s="7">
        <v>0.22992119408578829</v>
      </c>
      <c r="K148" s="7"/>
      <c r="L148" s="7">
        <v>8.7427920798935951E-2</v>
      </c>
      <c r="M148" s="12">
        <f t="shared" si="4"/>
        <v>1.884192580552517E-2</v>
      </c>
      <c r="N148" s="7"/>
      <c r="O148" s="7">
        <v>2.3999242289995171E-2</v>
      </c>
      <c r="P148" s="7"/>
      <c r="Q148" s="7">
        <v>0.45965805280749877</v>
      </c>
      <c r="R148" s="13">
        <f t="shared" si="5"/>
        <v>1</v>
      </c>
      <c r="S148" s="7"/>
      <c r="T148" s="7"/>
      <c r="U148" s="7"/>
      <c r="V148" s="7"/>
      <c r="W148" s="7"/>
      <c r="X148" s="7"/>
      <c r="Y148" s="7">
        <v>1.884192580552517E-2</v>
      </c>
      <c r="Z148" s="14">
        <f>IFERROR(IF(INDEX('All GHED Countries'!$D$5:$AB$199,MATCH($B148,'All GHED Countries'!$B$5:$B$199,0),MATCH($D148,'All GHED Countries'!$D$4:$AB$4,0))="","",INDEX('All GHED Countries'!$D$5:$AB$199,MATCH($B148,'All GHED Countries'!$B$5:$B$199,0),MATCH($D148,'All GHED Countries'!$D$4:$AB$4,0))),"")</f>
        <v>2.7989826200000002E-2</v>
      </c>
    </row>
    <row r="149" spans="1:26" x14ac:dyDescent="0.2">
      <c r="A149" s="6" t="s">
        <v>92</v>
      </c>
      <c r="B149" s="6" t="s">
        <v>93</v>
      </c>
      <c r="C149" s="6"/>
      <c r="D149" s="6" t="s">
        <v>15</v>
      </c>
      <c r="E149" s="6" t="s">
        <v>452</v>
      </c>
      <c r="F149" s="7"/>
      <c r="G149" s="7"/>
      <c r="H149" s="7">
        <v>0.13086420894914999</v>
      </c>
      <c r="I149" s="7">
        <v>7.845026914041546E-2</v>
      </c>
      <c r="J149" s="7">
        <v>0.20041342187528899</v>
      </c>
      <c r="K149" s="7"/>
      <c r="L149" s="7">
        <v>9.1541961857901241E-2</v>
      </c>
      <c r="M149" s="12">
        <f t="shared" si="4"/>
        <v>1.847635078892362E-2</v>
      </c>
      <c r="N149" s="7"/>
      <c r="O149" s="7">
        <v>2.456669317992638E-2</v>
      </c>
      <c r="P149" s="7"/>
      <c r="Q149" s="7">
        <v>0.45568709420839432</v>
      </c>
      <c r="R149" s="13">
        <f t="shared" si="5"/>
        <v>1</v>
      </c>
      <c r="S149" s="7"/>
      <c r="T149" s="7"/>
      <c r="U149" s="7"/>
      <c r="V149" s="7"/>
      <c r="W149" s="7"/>
      <c r="X149" s="7"/>
      <c r="Y149" s="7">
        <v>1.847635078892362E-2</v>
      </c>
      <c r="Z149" s="14">
        <f>IFERROR(IF(INDEX('All GHED Countries'!$D$5:$AB$199,MATCH($B149,'All GHED Countries'!$B$5:$B$199,0),MATCH($D149,'All GHED Countries'!$D$4:$AB$4,0))="","",INDEX('All GHED Countries'!$D$5:$AB$199,MATCH($B149,'All GHED Countries'!$B$5:$B$199,0),MATCH($D149,'All GHED Countries'!$D$4:$AB$4,0))),"")</f>
        <v>3.1219337E-2</v>
      </c>
    </row>
    <row r="150" spans="1:26" x14ac:dyDescent="0.2">
      <c r="A150" s="6" t="s">
        <v>92</v>
      </c>
      <c r="B150" s="6" t="s">
        <v>93</v>
      </c>
      <c r="C150" s="6"/>
      <c r="D150" s="6" t="s">
        <v>16</v>
      </c>
      <c r="E150" s="6" t="s">
        <v>452</v>
      </c>
      <c r="F150" s="7"/>
      <c r="G150" s="7"/>
      <c r="H150" s="7">
        <v>0.1206951187945627</v>
      </c>
      <c r="I150" s="7">
        <v>7.0711198613213691E-2</v>
      </c>
      <c r="J150" s="7">
        <v>0.2251511895143895</v>
      </c>
      <c r="K150" s="7"/>
      <c r="L150" s="7">
        <v>7.9545686294503842E-2</v>
      </c>
      <c r="M150" s="12">
        <f t="shared" si="4"/>
        <v>1.9175772027390601E-2</v>
      </c>
      <c r="N150" s="7"/>
      <c r="O150" s="7">
        <v>3.1792546807959898E-2</v>
      </c>
      <c r="P150" s="7"/>
      <c r="Q150" s="7">
        <v>0.45292848794797969</v>
      </c>
      <c r="R150" s="13">
        <f t="shared" si="5"/>
        <v>0.99999999999999989</v>
      </c>
      <c r="S150" s="7"/>
      <c r="T150" s="7"/>
      <c r="U150" s="7"/>
      <c r="V150" s="7"/>
      <c r="W150" s="7"/>
      <c r="X150" s="7"/>
      <c r="Y150" s="7">
        <v>1.9175772027390601E-2</v>
      </c>
      <c r="Z150" s="14">
        <f>IFERROR(IF(INDEX('All GHED Countries'!$D$5:$AB$199,MATCH($B150,'All GHED Countries'!$B$5:$B$199,0),MATCH($D150,'All GHED Countries'!$D$4:$AB$4,0))="","",INDEX('All GHED Countries'!$D$5:$AB$199,MATCH($B150,'All GHED Countries'!$B$5:$B$199,0),MATCH($D150,'All GHED Countries'!$D$4:$AB$4,0))),"")</f>
        <v>3.1116299600000001E-2</v>
      </c>
    </row>
    <row r="151" spans="1:26" x14ac:dyDescent="0.2">
      <c r="A151" s="6" t="s">
        <v>92</v>
      </c>
      <c r="B151" s="6" t="s">
        <v>93</v>
      </c>
      <c r="C151" s="6"/>
      <c r="D151" s="6" t="s">
        <v>17</v>
      </c>
      <c r="E151" s="6" t="s">
        <v>452</v>
      </c>
      <c r="F151" s="7"/>
      <c r="G151" s="7"/>
      <c r="H151" s="7">
        <v>0.11952043622127979</v>
      </c>
      <c r="I151" s="7"/>
      <c r="J151" s="7">
        <v>0.22295987323484179</v>
      </c>
      <c r="K151" s="7"/>
      <c r="L151" s="7">
        <v>7.877149648133476E-2</v>
      </c>
      <c r="M151" s="12">
        <f t="shared" si="4"/>
        <v>1.8989141072843361E-2</v>
      </c>
      <c r="N151" s="7"/>
      <c r="O151" s="7">
        <v>3.1483121281322329E-2</v>
      </c>
      <c r="P151" s="7"/>
      <c r="Q151" s="7">
        <v>0.52827593170837794</v>
      </c>
      <c r="R151" s="13">
        <f t="shared" si="5"/>
        <v>1</v>
      </c>
      <c r="S151" s="7"/>
      <c r="T151" s="7"/>
      <c r="U151" s="7"/>
      <c r="V151" s="7"/>
      <c r="W151" s="7"/>
      <c r="X151" s="7"/>
      <c r="Y151" s="7">
        <v>1.8989141072843361E-2</v>
      </c>
      <c r="Z151" s="14">
        <f>IFERROR(IF(INDEX('All GHED Countries'!$D$5:$AB$199,MATCH($B151,'All GHED Countries'!$B$5:$B$199,0),MATCH($D151,'All GHED Countries'!$D$4:$AB$4,0))="","",INDEX('All GHED Countries'!$D$5:$AB$199,MATCH($B151,'All GHED Countries'!$B$5:$B$199,0),MATCH($D151,'All GHED Countries'!$D$4:$AB$4,0))),"")</f>
        <v>3.3813006899999998E-2</v>
      </c>
    </row>
    <row r="152" spans="1:26" x14ac:dyDescent="0.2">
      <c r="A152" s="6" t="s">
        <v>92</v>
      </c>
      <c r="B152" s="6" t="s">
        <v>93</v>
      </c>
      <c r="C152" s="6"/>
      <c r="D152" s="6" t="s">
        <v>18</v>
      </c>
      <c r="E152" s="6" t="s">
        <v>452</v>
      </c>
      <c r="F152" s="7"/>
      <c r="G152" s="7"/>
      <c r="H152" s="7">
        <v>0.1184724198851646</v>
      </c>
      <c r="I152" s="7">
        <v>6.2860087353388619E-2</v>
      </c>
      <c r="J152" s="7">
        <v>0.21551013397457919</v>
      </c>
      <c r="K152" s="7"/>
      <c r="L152" s="7">
        <v>7.407125680914757E-2</v>
      </c>
      <c r="M152" s="12">
        <f t="shared" si="4"/>
        <v>1.9425087108013939E-2</v>
      </c>
      <c r="N152" s="7"/>
      <c r="O152" s="7">
        <v>3.5827771507091329E-2</v>
      </c>
      <c r="P152" s="7"/>
      <c r="Q152" s="7">
        <v>0.47383324336261468</v>
      </c>
      <c r="R152" s="13">
        <f t="shared" si="5"/>
        <v>0.99999999999999989</v>
      </c>
      <c r="S152" s="7"/>
      <c r="T152" s="7"/>
      <c r="U152" s="7"/>
      <c r="V152" s="7"/>
      <c r="W152" s="7"/>
      <c r="X152" s="7"/>
      <c r="Y152" s="7">
        <v>1.9425087108013939E-2</v>
      </c>
      <c r="Z152" s="14">
        <f>IFERROR(IF(INDEX('All GHED Countries'!$D$5:$AB$199,MATCH($B152,'All GHED Countries'!$B$5:$B$199,0),MATCH($D152,'All GHED Countries'!$D$4:$AB$4,0))="","",INDEX('All GHED Countries'!$D$5:$AB$199,MATCH($B152,'All GHED Countries'!$B$5:$B$199,0),MATCH($D152,'All GHED Countries'!$D$4:$AB$4,0))),"")</f>
        <v>3.4384939700000013E-2</v>
      </c>
    </row>
    <row r="153" spans="1:26" x14ac:dyDescent="0.2">
      <c r="A153" s="6" t="s">
        <v>92</v>
      </c>
      <c r="B153" s="6" t="s">
        <v>93</v>
      </c>
      <c r="C153" s="6"/>
      <c r="D153" s="6" t="s">
        <v>19</v>
      </c>
      <c r="E153" s="6" t="s">
        <v>452</v>
      </c>
      <c r="F153" s="7"/>
      <c r="G153" s="7"/>
      <c r="H153" s="7">
        <v>0.10867081674637311</v>
      </c>
      <c r="I153" s="7"/>
      <c r="J153" s="7">
        <v>0.208321889444014</v>
      </c>
      <c r="K153" s="7"/>
      <c r="L153" s="7">
        <v>7.0285607416708973E-2</v>
      </c>
      <c r="M153" s="12">
        <f t="shared" si="4"/>
        <v>1.875070132784739E-2</v>
      </c>
      <c r="N153" s="7"/>
      <c r="O153" s="7">
        <v>3.3119239092682128E-2</v>
      </c>
      <c r="P153" s="7"/>
      <c r="Q153" s="7">
        <v>0.56085174597237442</v>
      </c>
      <c r="R153" s="13">
        <f t="shared" si="5"/>
        <v>1</v>
      </c>
      <c r="S153" s="7"/>
      <c r="T153" s="7"/>
      <c r="U153" s="7"/>
      <c r="V153" s="7"/>
      <c r="W153" s="7"/>
      <c r="X153" s="7"/>
      <c r="Y153" s="7">
        <v>1.875070132784739E-2</v>
      </c>
      <c r="Z153" s="14">
        <f>IFERROR(IF(INDEX('All GHED Countries'!$D$5:$AB$199,MATCH($B153,'All GHED Countries'!$B$5:$B$199,0),MATCH($D153,'All GHED Countries'!$D$4:$AB$4,0))="","",INDEX('All GHED Countries'!$D$5:$AB$199,MATCH($B153,'All GHED Countries'!$B$5:$B$199,0),MATCH($D153,'All GHED Countries'!$D$4:$AB$4,0))),"")</f>
        <v>3.2388324699999999E-2</v>
      </c>
    </row>
    <row r="154" spans="1:26" x14ac:dyDescent="0.2">
      <c r="A154" s="6" t="s">
        <v>92</v>
      </c>
      <c r="B154" s="6" t="s">
        <v>93</v>
      </c>
      <c r="C154" s="6"/>
      <c r="D154" s="6" t="s">
        <v>20</v>
      </c>
      <c r="E154" s="6" t="s">
        <v>452</v>
      </c>
      <c r="F154" s="7"/>
      <c r="G154" s="7"/>
      <c r="H154" s="7">
        <v>0.11318799734175269</v>
      </c>
      <c r="I154" s="7"/>
      <c r="J154" s="7">
        <v>0.1817589254530928</v>
      </c>
      <c r="K154" s="7"/>
      <c r="L154" s="7">
        <v>7.0230759811242979E-2</v>
      </c>
      <c r="M154" s="12">
        <f t="shared" si="4"/>
        <v>1.6620331586401031E-2</v>
      </c>
      <c r="N154" s="7"/>
      <c r="O154" s="7">
        <v>3.8890398101937999E-2</v>
      </c>
      <c r="P154" s="7"/>
      <c r="Q154" s="7">
        <v>0.57931158770557245</v>
      </c>
      <c r="R154" s="13">
        <f t="shared" si="5"/>
        <v>1</v>
      </c>
      <c r="S154" s="7"/>
      <c r="T154" s="7"/>
      <c r="U154" s="7"/>
      <c r="V154" s="7"/>
      <c r="W154" s="7"/>
      <c r="X154" s="7"/>
      <c r="Y154" s="7">
        <v>1.6620331586401031E-2</v>
      </c>
      <c r="Z154" s="14">
        <f>IFERROR(IF(INDEX('All GHED Countries'!$D$5:$AB$199,MATCH($B154,'All GHED Countries'!$B$5:$B$199,0),MATCH($D154,'All GHED Countries'!$D$4:$AB$4,0))="","",INDEX('All GHED Countries'!$D$5:$AB$199,MATCH($B154,'All GHED Countries'!$B$5:$B$199,0),MATCH($D154,'All GHED Countries'!$D$4:$AB$4,0))),"")</f>
        <v>3.2507054799999997E-2</v>
      </c>
    </row>
    <row r="155" spans="1:26" x14ac:dyDescent="0.2">
      <c r="A155" s="6" t="s">
        <v>92</v>
      </c>
      <c r="B155" s="6" t="s">
        <v>93</v>
      </c>
      <c r="C155" s="6"/>
      <c r="D155" s="6" t="s">
        <v>21</v>
      </c>
      <c r="E155" s="6" t="s">
        <v>452</v>
      </c>
      <c r="F155" s="7"/>
      <c r="G155" s="7"/>
      <c r="H155" s="7">
        <v>0.10166926323594951</v>
      </c>
      <c r="I155" s="7"/>
      <c r="J155" s="7">
        <v>0.15153884180526481</v>
      </c>
      <c r="K155" s="7"/>
      <c r="L155" s="7">
        <v>3.6675292769428387E-2</v>
      </c>
      <c r="M155" s="12">
        <f t="shared" si="4"/>
        <v>1.6099041641231521E-2</v>
      </c>
      <c r="N155" s="7"/>
      <c r="O155" s="7">
        <v>3.1782382527086088E-2</v>
      </c>
      <c r="P155" s="7"/>
      <c r="Q155" s="7">
        <v>0.66223517802103971</v>
      </c>
      <c r="R155" s="13">
        <f t="shared" si="5"/>
        <v>1</v>
      </c>
      <c r="S155" s="7"/>
      <c r="T155" s="7"/>
      <c r="U155" s="7"/>
      <c r="V155" s="7"/>
      <c r="W155" s="7"/>
      <c r="X155" s="7"/>
      <c r="Y155" s="7">
        <v>1.6099041641231521E-2</v>
      </c>
      <c r="Z155" s="14">
        <f>IFERROR(IF(INDEX('All GHED Countries'!$D$5:$AB$199,MATCH($B155,'All GHED Countries'!$B$5:$B$199,0),MATCH($D155,'All GHED Countries'!$D$4:$AB$4,0))="","",INDEX('All GHED Countries'!$D$5:$AB$199,MATCH($B155,'All GHED Countries'!$B$5:$B$199,0),MATCH($D155,'All GHED Countries'!$D$4:$AB$4,0))),"")</f>
        <v>3.3762400200000001E-2</v>
      </c>
    </row>
    <row r="156" spans="1:26" x14ac:dyDescent="0.2">
      <c r="A156" s="6" t="s">
        <v>92</v>
      </c>
      <c r="B156" s="6" t="s">
        <v>93</v>
      </c>
      <c r="C156" s="6"/>
      <c r="D156" s="6" t="s">
        <v>22</v>
      </c>
      <c r="E156" s="6" t="s">
        <v>452</v>
      </c>
      <c r="F156" s="7"/>
      <c r="G156" s="7"/>
      <c r="H156" s="7">
        <v>0.10354147961705901</v>
      </c>
      <c r="I156" s="7"/>
      <c r="J156" s="7">
        <v>0.11025282204273169</v>
      </c>
      <c r="K156" s="7"/>
      <c r="L156" s="7">
        <v>7.6626026278893686E-2</v>
      </c>
      <c r="M156" s="12">
        <f t="shared" si="4"/>
        <v>1.7945999490925822E-2</v>
      </c>
      <c r="N156" s="7"/>
      <c r="O156" s="7">
        <v>2.8989595216611659E-2</v>
      </c>
      <c r="P156" s="7"/>
      <c r="Q156" s="7">
        <v>0.66264407735377817</v>
      </c>
      <c r="R156" s="13">
        <f t="shared" si="5"/>
        <v>1</v>
      </c>
      <c r="S156" s="7"/>
      <c r="T156" s="7"/>
      <c r="U156" s="7"/>
      <c r="V156" s="7"/>
      <c r="W156" s="7"/>
      <c r="X156" s="7"/>
      <c r="Y156" s="7">
        <v>1.7945999490925822E-2</v>
      </c>
      <c r="Z156" s="14">
        <f>IFERROR(IF(INDEX('All GHED Countries'!$D$5:$AB$199,MATCH($B156,'All GHED Countries'!$B$5:$B$199,0),MATCH($D156,'All GHED Countries'!$D$4:$AB$4,0))="","",INDEX('All GHED Countries'!$D$5:$AB$199,MATCH($B156,'All GHED Countries'!$B$5:$B$199,0),MATCH($D156,'All GHED Countries'!$D$4:$AB$4,0))),"")</f>
        <v>3.3933346299999993E-2</v>
      </c>
    </row>
    <row r="157" spans="1:26" x14ac:dyDescent="0.2">
      <c r="A157" s="6" t="s">
        <v>92</v>
      </c>
      <c r="B157" s="6" t="s">
        <v>93</v>
      </c>
      <c r="C157" s="6"/>
      <c r="D157" s="6" t="s">
        <v>23</v>
      </c>
      <c r="E157" s="6" t="s">
        <v>452</v>
      </c>
      <c r="F157" s="7"/>
      <c r="G157" s="7"/>
      <c r="H157" s="7">
        <v>9.66212566764688E-2</v>
      </c>
      <c r="I157" s="7"/>
      <c r="J157" s="7">
        <v>0.13989188050819029</v>
      </c>
      <c r="K157" s="7"/>
      <c r="L157" s="7">
        <v>7.648222486247587E-2</v>
      </c>
      <c r="M157" s="12">
        <f t="shared" si="4"/>
        <v>1.883273215813E-2</v>
      </c>
      <c r="N157" s="7"/>
      <c r="O157" s="7">
        <v>3.386695993363939E-2</v>
      </c>
      <c r="P157" s="7"/>
      <c r="Q157" s="7">
        <v>0.63430494586109565</v>
      </c>
      <c r="R157" s="13">
        <f t="shared" si="5"/>
        <v>1</v>
      </c>
      <c r="S157" s="7"/>
      <c r="T157" s="7"/>
      <c r="U157" s="7"/>
      <c r="V157" s="7"/>
      <c r="W157" s="7"/>
      <c r="X157" s="7"/>
      <c r="Y157" s="7">
        <v>1.883273215813E-2</v>
      </c>
      <c r="Z157" s="14">
        <f>IFERROR(IF(INDEX('All GHED Countries'!$D$5:$AB$199,MATCH($B157,'All GHED Countries'!$B$5:$B$199,0),MATCH($D157,'All GHED Countries'!$D$4:$AB$4,0))="","",INDEX('All GHED Countries'!$D$5:$AB$199,MATCH($B157,'All GHED Countries'!$B$5:$B$199,0),MATCH($D157,'All GHED Countries'!$D$4:$AB$4,0))),"")</f>
        <v>3.6608045100000007E-2</v>
      </c>
    </row>
    <row r="158" spans="1:26" x14ac:dyDescent="0.2">
      <c r="A158" s="6" t="s">
        <v>92</v>
      </c>
      <c r="B158" s="6" t="s">
        <v>93</v>
      </c>
      <c r="C158" s="6"/>
      <c r="D158" s="6" t="s">
        <v>24</v>
      </c>
      <c r="E158" s="6" t="s">
        <v>452</v>
      </c>
      <c r="F158" s="7"/>
      <c r="G158" s="7"/>
      <c r="H158" s="7">
        <v>9.2543810859946354E-2</v>
      </c>
      <c r="I158" s="7"/>
      <c r="J158" s="7">
        <v>0.14011771444699939</v>
      </c>
      <c r="K158" s="7"/>
      <c r="L158" s="7">
        <v>7.6795311345580736E-2</v>
      </c>
      <c r="M158" s="12">
        <f t="shared" si="4"/>
        <v>1.7318468217929449E-2</v>
      </c>
      <c r="N158" s="7"/>
      <c r="O158" s="7">
        <v>2.670540672914885E-2</v>
      </c>
      <c r="P158" s="7"/>
      <c r="Q158" s="7">
        <v>0.64651928840039519</v>
      </c>
      <c r="R158" s="13">
        <f t="shared" si="5"/>
        <v>0.99999999999999989</v>
      </c>
      <c r="S158" s="7"/>
      <c r="T158" s="7"/>
      <c r="U158" s="7"/>
      <c r="V158" s="7"/>
      <c r="W158" s="7"/>
      <c r="X158" s="7"/>
      <c r="Y158" s="7">
        <v>1.7318468217929449E-2</v>
      </c>
      <c r="Z158" s="14">
        <f>IFERROR(IF(INDEX('All GHED Countries'!$D$5:$AB$199,MATCH($B158,'All GHED Countries'!$B$5:$B$199,0),MATCH($D158,'All GHED Countries'!$D$4:$AB$4,0))="","",INDEX('All GHED Countries'!$D$5:$AB$199,MATCH($B158,'All GHED Countries'!$B$5:$B$199,0),MATCH($D158,'All GHED Countries'!$D$4:$AB$4,0))),"")</f>
        <v>3.6753218200000007E-2</v>
      </c>
    </row>
    <row r="159" spans="1:26" x14ac:dyDescent="0.2">
      <c r="A159" s="6" t="s">
        <v>94</v>
      </c>
      <c r="B159" s="6" t="s">
        <v>95</v>
      </c>
      <c r="C159" s="6"/>
      <c r="D159" s="6" t="s">
        <v>14</v>
      </c>
      <c r="E159" s="6" t="s">
        <v>453</v>
      </c>
      <c r="F159" s="7">
        <v>0.5307422408605027</v>
      </c>
      <c r="G159" s="7">
        <v>8.4561103522061837E-2</v>
      </c>
      <c r="H159" s="7">
        <v>8.7454983139573766E-3</v>
      </c>
      <c r="I159" s="7">
        <v>1.085582186219348E-2</v>
      </c>
      <c r="J159" s="7">
        <v>7.9132332852516654E-2</v>
      </c>
      <c r="K159" s="7">
        <v>1.415072170266423E-2</v>
      </c>
      <c r="L159" s="7">
        <v>8.5629949466484542E-2</v>
      </c>
      <c r="M159" s="12">
        <f t="shared" si="4"/>
        <v>5.9170734503214473E-2</v>
      </c>
      <c r="N159" s="7">
        <v>4.8603784759703103E-3</v>
      </c>
      <c r="O159" s="7">
        <v>0.1145133402749253</v>
      </c>
      <c r="P159" s="7">
        <v>7.6348404229913168E-3</v>
      </c>
      <c r="Q159" s="7"/>
      <c r="R159" s="13">
        <f t="shared" si="5"/>
        <v>0.99999696225748202</v>
      </c>
      <c r="S159" s="7"/>
      <c r="T159" s="7"/>
      <c r="U159" s="7"/>
      <c r="V159" s="7"/>
      <c r="W159" s="7"/>
      <c r="X159" s="7"/>
      <c r="Y159" s="7">
        <v>5.9170734503214473E-2</v>
      </c>
      <c r="Z159" s="14">
        <f>IFERROR(IF(INDEX('All GHED Countries'!$D$5:$AB$199,MATCH($B159,'All GHED Countries'!$B$5:$B$199,0),MATCH($D159,'All GHED Countries'!$D$4:$AB$4,0))="","",INDEX('All GHED Countries'!$D$5:$AB$199,MATCH($B159,'All GHED Countries'!$B$5:$B$199,0),MATCH($D159,'All GHED Countries'!$D$4:$AB$4,0))),"")</f>
        <v>4.6298518200000013E-2</v>
      </c>
    </row>
    <row r="160" spans="1:26" x14ac:dyDescent="0.2">
      <c r="A160" s="6" t="s">
        <v>94</v>
      </c>
      <c r="B160" s="6" t="s">
        <v>95</v>
      </c>
      <c r="C160" s="6"/>
      <c r="D160" s="6" t="s">
        <v>15</v>
      </c>
      <c r="E160" s="6" t="s">
        <v>453</v>
      </c>
      <c r="F160" s="7">
        <v>0.43006612510791931</v>
      </c>
      <c r="G160" s="7">
        <v>9.2313397692488822E-2</v>
      </c>
      <c r="H160" s="7">
        <v>1.2896554430578451E-2</v>
      </c>
      <c r="I160" s="7">
        <v>2.373440075347304E-2</v>
      </c>
      <c r="J160" s="7">
        <v>0.1028137508829762</v>
      </c>
      <c r="K160" s="7">
        <v>2.2487049682128561E-2</v>
      </c>
      <c r="L160" s="7">
        <v>6.3592928341574442E-2</v>
      </c>
      <c r="M160" s="12">
        <f t="shared" si="4"/>
        <v>6.0788105329252017E-2</v>
      </c>
      <c r="N160" s="7">
        <v>7.384742170944196E-3</v>
      </c>
      <c r="O160" s="7">
        <v>0.1616484184914842</v>
      </c>
      <c r="P160" s="7">
        <v>2.2273467545718548E-2</v>
      </c>
      <c r="Q160" s="7"/>
      <c r="R160" s="13">
        <f t="shared" si="5"/>
        <v>0.99999894042853787</v>
      </c>
      <c r="S160" s="7"/>
      <c r="T160" s="7"/>
      <c r="U160" s="7"/>
      <c r="V160" s="7"/>
      <c r="W160" s="7"/>
      <c r="X160" s="7"/>
      <c r="Y160" s="7">
        <v>6.0788105329252017E-2</v>
      </c>
      <c r="Z160" s="14">
        <f>IFERROR(IF(INDEX('All GHED Countries'!$D$5:$AB$199,MATCH($B160,'All GHED Countries'!$B$5:$B$199,0),MATCH($D160,'All GHED Countries'!$D$4:$AB$4,0))="","",INDEX('All GHED Countries'!$D$5:$AB$199,MATCH($B160,'All GHED Countries'!$B$5:$B$199,0),MATCH($D160,'All GHED Countries'!$D$4:$AB$4,0))),"")</f>
        <v>5.4129438400000007E-2</v>
      </c>
    </row>
    <row r="161" spans="1:26" x14ac:dyDescent="0.2">
      <c r="A161" s="6" t="s">
        <v>94</v>
      </c>
      <c r="B161" s="6" t="s">
        <v>95</v>
      </c>
      <c r="C161" s="6"/>
      <c r="D161" s="6" t="s">
        <v>16</v>
      </c>
      <c r="E161" s="6" t="s">
        <v>453</v>
      </c>
      <c r="F161" s="7">
        <v>0.47752351551254307</v>
      </c>
      <c r="G161" s="7">
        <v>8.0131360957459333E-2</v>
      </c>
      <c r="H161" s="7">
        <v>1.5477145366153961E-2</v>
      </c>
      <c r="I161" s="7">
        <v>1.615984211336333E-2</v>
      </c>
      <c r="J161" s="7">
        <v>8.1794059334232616E-2</v>
      </c>
      <c r="K161" s="7">
        <v>1.371006436777447E-2</v>
      </c>
      <c r="L161" s="7">
        <v>7.1683882707610974E-2</v>
      </c>
      <c r="M161" s="12">
        <f t="shared" si="4"/>
        <v>5.0867561719733112E-2</v>
      </c>
      <c r="N161" s="7">
        <v>4.4282584488362199E-3</v>
      </c>
      <c r="O161" s="7">
        <v>0.18013923718302721</v>
      </c>
      <c r="P161" s="7">
        <v>8.0856879022985894E-3</v>
      </c>
      <c r="Q161" s="7"/>
      <c r="R161" s="13">
        <f t="shared" si="5"/>
        <v>1.0000006156130328</v>
      </c>
      <c r="S161" s="7"/>
      <c r="T161" s="7"/>
      <c r="U161" s="7"/>
      <c r="V161" s="7"/>
      <c r="W161" s="7"/>
      <c r="X161" s="7"/>
      <c r="Y161" s="7">
        <v>5.0867561719733112E-2</v>
      </c>
      <c r="Z161" s="14">
        <f>IFERROR(IF(INDEX('All GHED Countries'!$D$5:$AB$199,MATCH($B161,'All GHED Countries'!$B$5:$B$199,0),MATCH($D161,'All GHED Countries'!$D$4:$AB$4,0))="","",INDEX('All GHED Countries'!$D$5:$AB$199,MATCH($B161,'All GHED Countries'!$B$5:$B$199,0),MATCH($D161,'All GHED Countries'!$D$4:$AB$4,0))),"")</f>
        <v>3.9148962500000002E-2</v>
      </c>
    </row>
    <row r="162" spans="1:26" x14ac:dyDescent="0.2">
      <c r="A162" s="6" t="s">
        <v>94</v>
      </c>
      <c r="B162" s="6" t="s">
        <v>95</v>
      </c>
      <c r="C162" s="6"/>
      <c r="D162" s="6" t="s">
        <v>17</v>
      </c>
      <c r="E162" s="6" t="s">
        <v>453</v>
      </c>
      <c r="F162" s="7">
        <v>0.44702348706641648</v>
      </c>
      <c r="G162" s="7">
        <v>6.8172652205973613E-2</v>
      </c>
      <c r="H162" s="7">
        <v>4.0122290445283239E-2</v>
      </c>
      <c r="I162" s="7">
        <v>2.0336134453781511E-2</v>
      </c>
      <c r="J162" s="7">
        <v>0.101036000846907</v>
      </c>
      <c r="K162" s="7">
        <v>1.3446473289576469E-2</v>
      </c>
      <c r="L162" s="7">
        <v>6.5572574816199283E-2</v>
      </c>
      <c r="M162" s="12">
        <f t="shared" si="4"/>
        <v>4.4550372712073537E-2</v>
      </c>
      <c r="N162" s="7">
        <v>6.2217801108279984E-3</v>
      </c>
      <c r="O162" s="7">
        <v>0.1854828464835109</v>
      </c>
      <c r="P162" s="7">
        <v>8.0392643590885531E-3</v>
      </c>
      <c r="Q162" s="7"/>
      <c r="R162" s="13">
        <f t="shared" si="5"/>
        <v>1.0000038767896384</v>
      </c>
      <c r="S162" s="7"/>
      <c r="T162" s="7"/>
      <c r="U162" s="7"/>
      <c r="V162" s="7"/>
      <c r="W162" s="7"/>
      <c r="X162" s="7"/>
      <c r="Y162" s="7">
        <v>4.4550372712073537E-2</v>
      </c>
      <c r="Z162" s="14">
        <f>IFERROR(IF(INDEX('All GHED Countries'!$D$5:$AB$199,MATCH($B162,'All GHED Countries'!$B$5:$B$199,0),MATCH($D162,'All GHED Countries'!$D$4:$AB$4,0))="","",INDEX('All GHED Countries'!$D$5:$AB$199,MATCH($B162,'All GHED Countries'!$B$5:$B$199,0),MATCH($D162,'All GHED Countries'!$D$4:$AB$4,0))),"")</f>
        <v>3.9625184500000001E-2</v>
      </c>
    </row>
    <row r="163" spans="1:26" x14ac:dyDescent="0.2">
      <c r="A163" s="6" t="s">
        <v>94</v>
      </c>
      <c r="B163" s="6" t="s">
        <v>95</v>
      </c>
      <c r="C163" s="6"/>
      <c r="D163" s="6" t="s">
        <v>18</v>
      </c>
      <c r="E163" s="6" t="s">
        <v>453</v>
      </c>
      <c r="F163" s="7">
        <v>0.46527349016544228</v>
      </c>
      <c r="G163" s="7">
        <v>6.3413051421947267E-2</v>
      </c>
      <c r="H163" s="7">
        <v>3.8526391391454459E-2</v>
      </c>
      <c r="I163" s="7">
        <v>2.170154858057281E-2</v>
      </c>
      <c r="J163" s="7">
        <v>0.1012909038216801</v>
      </c>
      <c r="K163" s="7">
        <v>1.309609011756108E-2</v>
      </c>
      <c r="L163" s="7">
        <v>6.8493504529818686E-2</v>
      </c>
      <c r="M163" s="12">
        <f t="shared" si="4"/>
        <v>4.3677028338142458E-2</v>
      </c>
      <c r="N163" s="7">
        <v>6.2374721217695909E-3</v>
      </c>
      <c r="O163" s="7">
        <v>0.1696810856444439</v>
      </c>
      <c r="P163" s="7">
        <v>8.6106876000151197E-3</v>
      </c>
      <c r="Q163" s="7"/>
      <c r="R163" s="13">
        <f t="shared" si="5"/>
        <v>1.000001253732848</v>
      </c>
      <c r="S163" s="7"/>
      <c r="T163" s="7"/>
      <c r="U163" s="7"/>
      <c r="V163" s="7"/>
      <c r="W163" s="7"/>
      <c r="X163" s="7"/>
      <c r="Y163" s="7">
        <v>4.3677028338142458E-2</v>
      </c>
      <c r="Z163" s="14">
        <f>IFERROR(IF(INDEX('All GHED Countries'!$D$5:$AB$199,MATCH($B163,'All GHED Countries'!$B$5:$B$199,0),MATCH($D163,'All GHED Countries'!$D$4:$AB$4,0))="","",INDEX('All GHED Countries'!$D$5:$AB$199,MATCH($B163,'All GHED Countries'!$B$5:$B$199,0),MATCH($D163,'All GHED Countries'!$D$4:$AB$4,0))),"")</f>
        <v>4.0733542400000003E-2</v>
      </c>
    </row>
    <row r="164" spans="1:26" x14ac:dyDescent="0.2">
      <c r="A164" s="6" t="s">
        <v>94</v>
      </c>
      <c r="B164" s="6" t="s">
        <v>95</v>
      </c>
      <c r="C164" s="6"/>
      <c r="D164" s="6" t="s">
        <v>19</v>
      </c>
      <c r="E164" s="6" t="s">
        <v>453</v>
      </c>
      <c r="F164" s="7">
        <v>0.44767330207485201</v>
      </c>
      <c r="G164" s="7">
        <v>6.4101973776567372E-2</v>
      </c>
      <c r="H164" s="7">
        <v>4.8946458152006073E-2</v>
      </c>
      <c r="I164" s="7">
        <v>2.3894320128028751E-2</v>
      </c>
      <c r="J164" s="7">
        <v>9.4132577140129708E-2</v>
      </c>
      <c r="K164" s="7">
        <v>1.438391779206559E-2</v>
      </c>
      <c r="L164" s="7">
        <v>7.85866299800657E-2</v>
      </c>
      <c r="M164" s="12">
        <f t="shared" si="4"/>
        <v>4.4614257236712813E-2</v>
      </c>
      <c r="N164" s="7">
        <v>5.7653929303422523E-3</v>
      </c>
      <c r="O164" s="7">
        <v>0.16300586798438951</v>
      </c>
      <c r="P164" s="7">
        <v>1.489283207457113E-2</v>
      </c>
      <c r="Q164" s="7"/>
      <c r="R164" s="13">
        <f t="shared" si="5"/>
        <v>0.99999752926973096</v>
      </c>
      <c r="S164" s="7"/>
      <c r="T164" s="7"/>
      <c r="U164" s="7"/>
      <c r="V164" s="7"/>
      <c r="W164" s="7"/>
      <c r="X164" s="7"/>
      <c r="Y164" s="7">
        <v>4.4614257236712813E-2</v>
      </c>
      <c r="Z164" s="14">
        <f>IFERROR(IF(INDEX('All GHED Countries'!$D$5:$AB$199,MATCH($B164,'All GHED Countries'!$B$5:$B$199,0),MATCH($D164,'All GHED Countries'!$D$4:$AB$4,0))="","",INDEX('All GHED Countries'!$D$5:$AB$199,MATCH($B164,'All GHED Countries'!$B$5:$B$199,0),MATCH($D164,'All GHED Countries'!$D$4:$AB$4,0))),"")</f>
        <v>4.3404297799999991E-2</v>
      </c>
    </row>
    <row r="165" spans="1:26" x14ac:dyDescent="0.2">
      <c r="A165" s="6" t="s">
        <v>94</v>
      </c>
      <c r="B165" s="6" t="s">
        <v>95</v>
      </c>
      <c r="C165" s="6"/>
      <c r="D165" s="6" t="s">
        <v>20</v>
      </c>
      <c r="E165" s="6" t="s">
        <v>453</v>
      </c>
      <c r="F165" s="7">
        <v>0.46113085364971917</v>
      </c>
      <c r="G165" s="7">
        <v>6.8509799140815342E-2</v>
      </c>
      <c r="H165" s="7">
        <v>4.3851179711631418E-2</v>
      </c>
      <c r="I165" s="7">
        <v>2.5130027266290621E-2</v>
      </c>
      <c r="J165" s="7">
        <v>8.4635167309022277E-2</v>
      </c>
      <c r="K165" s="7">
        <v>1.2203795437078471E-2</v>
      </c>
      <c r="L165" s="7">
        <v>7.8224996819689446E-2</v>
      </c>
      <c r="M165" s="12">
        <f t="shared" si="4"/>
        <v>4.4085694689813319E-2</v>
      </c>
      <c r="N165" s="7">
        <v>5.4078889325567137E-3</v>
      </c>
      <c r="O165" s="7">
        <v>0.16459546337021849</v>
      </c>
      <c r="P165" s="7">
        <v>1.222513367316419E-2</v>
      </c>
      <c r="Q165" s="7"/>
      <c r="R165" s="13">
        <f t="shared" si="5"/>
        <v>0.99999999999999956</v>
      </c>
      <c r="S165" s="7"/>
      <c r="T165" s="7"/>
      <c r="U165" s="7"/>
      <c r="V165" s="7"/>
      <c r="W165" s="7"/>
      <c r="X165" s="7"/>
      <c r="Y165" s="7">
        <v>4.4085694689813319E-2</v>
      </c>
      <c r="Z165" s="14">
        <f>IFERROR(IF(INDEX('All GHED Countries'!$D$5:$AB$199,MATCH($B165,'All GHED Countries'!$B$5:$B$199,0),MATCH($D165,'All GHED Countries'!$D$4:$AB$4,0))="","",INDEX('All GHED Countries'!$D$5:$AB$199,MATCH($B165,'All GHED Countries'!$B$5:$B$199,0),MATCH($D165,'All GHED Countries'!$D$4:$AB$4,0))),"")</f>
        <v>5.4055018399999988E-2</v>
      </c>
    </row>
    <row r="166" spans="1:26" x14ac:dyDescent="0.2">
      <c r="A166" s="6" t="s">
        <v>94</v>
      </c>
      <c r="B166" s="6" t="s">
        <v>95</v>
      </c>
      <c r="C166" s="6"/>
      <c r="D166" s="6" t="s">
        <v>21</v>
      </c>
      <c r="E166" s="6" t="s">
        <v>453</v>
      </c>
      <c r="F166" s="7">
        <v>0.40097079179930822</v>
      </c>
      <c r="G166" s="7">
        <v>7.6021217533829677E-2</v>
      </c>
      <c r="H166" s="7">
        <v>5.1513879055442163E-2</v>
      </c>
      <c r="I166" s="7">
        <v>3.2781070730817978E-2</v>
      </c>
      <c r="J166" s="7">
        <v>0.1196454976240317</v>
      </c>
      <c r="K166" s="7">
        <v>1.190405136220837E-2</v>
      </c>
      <c r="L166" s="7">
        <v>7.0044346710257624E-2</v>
      </c>
      <c r="M166" s="12">
        <f t="shared" si="4"/>
        <v>4.8007861923269578E-2</v>
      </c>
      <c r="N166" s="7">
        <v>6.5173644689247856E-3</v>
      </c>
      <c r="O166" s="7">
        <v>0.16713870086018301</v>
      </c>
      <c r="P166" s="7">
        <v>1.5455217931725541E-2</v>
      </c>
      <c r="Q166" s="7"/>
      <c r="R166" s="13">
        <f t="shared" si="5"/>
        <v>0.99999999999999856</v>
      </c>
      <c r="S166" s="7"/>
      <c r="T166" s="7"/>
      <c r="U166" s="7"/>
      <c r="V166" s="7"/>
      <c r="W166" s="7"/>
      <c r="X166" s="7"/>
      <c r="Y166" s="7">
        <v>4.8007861923269578E-2</v>
      </c>
      <c r="Z166" s="14">
        <f>IFERROR(IF(INDEX('All GHED Countries'!$D$5:$AB$199,MATCH($B166,'All GHED Countries'!$B$5:$B$199,0),MATCH($D166,'All GHED Countries'!$D$4:$AB$4,0))="","",INDEX('All GHED Countries'!$D$5:$AB$199,MATCH($B166,'All GHED Countries'!$B$5:$B$199,0),MATCH($D166,'All GHED Countries'!$D$4:$AB$4,0))),"")</f>
        <v>6.5787243799999992E-2</v>
      </c>
    </row>
    <row r="167" spans="1:26" x14ac:dyDescent="0.2">
      <c r="A167" s="6" t="s">
        <v>94</v>
      </c>
      <c r="B167" s="6" t="s">
        <v>95</v>
      </c>
      <c r="C167" s="6"/>
      <c r="D167" s="6" t="s">
        <v>22</v>
      </c>
      <c r="E167" s="6" t="s">
        <v>453</v>
      </c>
      <c r="F167" s="7">
        <v>0.13630627182334609</v>
      </c>
      <c r="G167" s="7">
        <v>8.7124633714823305E-2</v>
      </c>
      <c r="H167" s="7">
        <v>6.3901243793232212E-2</v>
      </c>
      <c r="I167" s="7">
        <v>7.7316183459477245E-2</v>
      </c>
      <c r="J167" s="7">
        <v>0.13588517693423841</v>
      </c>
      <c r="K167" s="7">
        <v>1.522243915734094E-2</v>
      </c>
      <c r="L167" s="7">
        <v>8.7222518463217699E-2</v>
      </c>
      <c r="M167" s="12">
        <f t="shared" si="4"/>
        <v>9.0494527623587159E-2</v>
      </c>
      <c r="N167" s="7">
        <v>1.0100004224059669E-2</v>
      </c>
      <c r="O167" s="7">
        <v>0.21078784371138259</v>
      </c>
      <c r="P167" s="7">
        <v>8.5639157095292684E-2</v>
      </c>
      <c r="Q167" s="7"/>
      <c r="R167" s="13">
        <f t="shared" si="5"/>
        <v>0.99999999999999789</v>
      </c>
      <c r="S167" s="7"/>
      <c r="T167" s="7"/>
      <c r="U167" s="7"/>
      <c r="V167" s="7"/>
      <c r="W167" s="7"/>
      <c r="X167" s="7"/>
      <c r="Y167" s="7">
        <v>9.0494527623587159E-2</v>
      </c>
      <c r="Z167" s="14">
        <f>IFERROR(IF(INDEX('All GHED Countries'!$D$5:$AB$199,MATCH($B167,'All GHED Countries'!$B$5:$B$199,0),MATCH($D167,'All GHED Countries'!$D$4:$AB$4,0))="","",INDEX('All GHED Countries'!$D$5:$AB$199,MATCH($B167,'All GHED Countries'!$B$5:$B$199,0),MATCH($D167,'All GHED Countries'!$D$4:$AB$4,0))),"")</f>
        <v>8.1296863599999991E-2</v>
      </c>
    </row>
    <row r="168" spans="1:26" x14ac:dyDescent="0.2">
      <c r="A168" s="6" t="s">
        <v>94</v>
      </c>
      <c r="B168" s="6" t="s">
        <v>95</v>
      </c>
      <c r="C168" s="6"/>
      <c r="D168" s="6" t="s">
        <v>23</v>
      </c>
      <c r="E168" s="6" t="s">
        <v>453</v>
      </c>
      <c r="F168" s="7">
        <v>0.19820163933306001</v>
      </c>
      <c r="G168" s="7">
        <v>9.6204283856861444E-2</v>
      </c>
      <c r="H168" s="7">
        <v>5.217340078749455E-2</v>
      </c>
      <c r="I168" s="7">
        <v>6.5100077554338706E-2</v>
      </c>
      <c r="J168" s="7">
        <v>0.1681331232519559</v>
      </c>
      <c r="K168" s="7">
        <v>1.1708757297568619E-2</v>
      </c>
      <c r="L168" s="7">
        <v>8.2083202083848866E-2</v>
      </c>
      <c r="M168" s="12">
        <f t="shared" si="4"/>
        <v>8.3701820828986959E-2</v>
      </c>
      <c r="N168" s="7">
        <v>9.5706117019558681E-3</v>
      </c>
      <c r="O168" s="7">
        <v>0.16110480105335531</v>
      </c>
      <c r="P168" s="7">
        <v>7.2018282250572593E-2</v>
      </c>
      <c r="Q168" s="7"/>
      <c r="R168" s="13">
        <f t="shared" si="5"/>
        <v>0.99999999999999878</v>
      </c>
      <c r="S168" s="7"/>
      <c r="T168" s="7"/>
      <c r="U168" s="7"/>
      <c r="V168" s="7"/>
      <c r="W168" s="7"/>
      <c r="X168" s="7"/>
      <c r="Y168" s="7">
        <v>8.3701820828986959E-2</v>
      </c>
      <c r="Z168" s="14">
        <f>IFERROR(IF(INDEX('All GHED Countries'!$D$5:$AB$199,MATCH($B168,'All GHED Countries'!$B$5:$B$199,0),MATCH($D168,'All GHED Countries'!$D$4:$AB$4,0))="","",INDEX('All GHED Countries'!$D$5:$AB$199,MATCH($B168,'All GHED Countries'!$B$5:$B$199,0),MATCH($D168,'All GHED Countries'!$D$4:$AB$4,0))),"")</f>
        <v>8.2089261999999982E-2</v>
      </c>
    </row>
    <row r="169" spans="1:26" x14ac:dyDescent="0.2">
      <c r="A169" s="6" t="s">
        <v>94</v>
      </c>
      <c r="B169" s="6" t="s">
        <v>95</v>
      </c>
      <c r="C169" s="6"/>
      <c r="D169" s="6" t="s">
        <v>24</v>
      </c>
      <c r="E169" s="6" t="s">
        <v>453</v>
      </c>
      <c r="F169" s="7">
        <v>0.16199909258661019</v>
      </c>
      <c r="G169" s="7">
        <v>0.10615466855420549</v>
      </c>
      <c r="H169" s="7">
        <v>4.3903990067985052E-2</v>
      </c>
      <c r="I169" s="7">
        <v>6.5063221795515616E-2</v>
      </c>
      <c r="J169" s="7">
        <v>0.18991976932122959</v>
      </c>
      <c r="K169" s="7">
        <v>1.29470992110412E-2</v>
      </c>
      <c r="L169" s="7">
        <v>7.7114663086405993E-2</v>
      </c>
      <c r="M169" s="12">
        <f t="shared" si="4"/>
        <v>8.5381361334280009E-2</v>
      </c>
      <c r="N169" s="7">
        <v>1.183110808779222E-2</v>
      </c>
      <c r="O169" s="7">
        <v>0.16795709686924351</v>
      </c>
      <c r="P169" s="7">
        <v>7.7727929085691067E-2</v>
      </c>
      <c r="Q169" s="7"/>
      <c r="R169" s="13">
        <f t="shared" si="5"/>
        <v>0.99999999999999989</v>
      </c>
      <c r="S169" s="7"/>
      <c r="T169" s="7"/>
      <c r="U169" s="7"/>
      <c r="V169" s="7"/>
      <c r="W169" s="7"/>
      <c r="X169" s="7"/>
      <c r="Y169" s="7">
        <v>8.5381361334280009E-2</v>
      </c>
      <c r="Z169" s="14">
        <f>IFERROR(IF(INDEX('All GHED Countries'!$D$5:$AB$199,MATCH($B169,'All GHED Countries'!$B$5:$B$199,0),MATCH($D169,'All GHED Countries'!$D$4:$AB$4,0))="","",INDEX('All GHED Countries'!$D$5:$AB$199,MATCH($B169,'All GHED Countries'!$B$5:$B$199,0),MATCH($D169,'All GHED Countries'!$D$4:$AB$4,0))),"")</f>
        <v>8.4031391099999991E-2</v>
      </c>
    </row>
    <row r="170" spans="1:26" x14ac:dyDescent="0.2">
      <c r="A170" s="6" t="s">
        <v>94</v>
      </c>
      <c r="B170" s="6" t="s">
        <v>95</v>
      </c>
      <c r="C170" s="6"/>
      <c r="D170" s="6" t="s">
        <v>25</v>
      </c>
      <c r="E170" s="6" t="s">
        <v>453</v>
      </c>
      <c r="F170" s="7">
        <v>0.17758928824346981</v>
      </c>
      <c r="G170" s="7">
        <v>0.10616563458993269</v>
      </c>
      <c r="H170" s="7">
        <v>4.4474414025154972E-2</v>
      </c>
      <c r="I170" s="7">
        <v>6.3612289118328558E-2</v>
      </c>
      <c r="J170" s="7">
        <v>0.1690474257993754</v>
      </c>
      <c r="K170" s="7">
        <v>1.3878323562620009E-2</v>
      </c>
      <c r="L170" s="7">
        <v>7.216961504730654E-2</v>
      </c>
      <c r="M170" s="12">
        <f t="shared" si="4"/>
        <v>9.0273677726651624E-2</v>
      </c>
      <c r="N170" s="7">
        <v>9.6926799260036202E-3</v>
      </c>
      <c r="O170" s="7">
        <v>0.17338113807912239</v>
      </c>
      <c r="P170" s="7">
        <v>7.9715513882033268E-2</v>
      </c>
      <c r="Q170" s="7"/>
      <c r="R170" s="13">
        <f t="shared" si="5"/>
        <v>0.99999999999999889</v>
      </c>
      <c r="S170" s="7"/>
      <c r="T170" s="7"/>
      <c r="U170" s="7"/>
      <c r="V170" s="7"/>
      <c r="W170" s="7"/>
      <c r="X170" s="7"/>
      <c r="Y170" s="7">
        <v>9.0273677726651624E-2</v>
      </c>
      <c r="Z170" s="14">
        <f>IFERROR(IF(INDEX('All GHED Countries'!$D$5:$AB$199,MATCH($B170,'All GHED Countries'!$B$5:$B$199,0),MATCH($D170,'All GHED Countries'!$D$4:$AB$4,0))="","",INDEX('All GHED Countries'!$D$5:$AB$199,MATCH($B170,'All GHED Countries'!$B$5:$B$199,0),MATCH($D170,'All GHED Countries'!$D$4:$AB$4,0))),"")</f>
        <v>8.5453538900000028E-2</v>
      </c>
    </row>
    <row r="171" spans="1:26" x14ac:dyDescent="0.2">
      <c r="A171" s="6" t="s">
        <v>94</v>
      </c>
      <c r="B171" s="6" t="s">
        <v>95</v>
      </c>
      <c r="C171" s="6"/>
      <c r="D171" s="6" t="s">
        <v>26</v>
      </c>
      <c r="E171" s="6" t="s">
        <v>453</v>
      </c>
      <c r="F171" s="7">
        <v>0.25697876018902199</v>
      </c>
      <c r="G171" s="7"/>
      <c r="H171" s="7">
        <v>4.5582337345881491E-2</v>
      </c>
      <c r="I171" s="7">
        <v>5.776055657024276E-2</v>
      </c>
      <c r="J171" s="7">
        <v>0.16220216962461789</v>
      </c>
      <c r="K171" s="7">
        <v>1.409014744468E-2</v>
      </c>
      <c r="L171" s="7">
        <v>6.6366073934789882E-2</v>
      </c>
      <c r="M171" s="12">
        <f t="shared" si="4"/>
        <v>0.1052118486525241</v>
      </c>
      <c r="N171" s="7">
        <v>7.670839590280568E-3</v>
      </c>
      <c r="O171" s="7">
        <v>0.1794368367572205</v>
      </c>
      <c r="P171" s="7">
        <v>0.1047004298907404</v>
      </c>
      <c r="Q171" s="7"/>
      <c r="R171" s="13">
        <f t="shared" si="5"/>
        <v>0.99999999999999956</v>
      </c>
      <c r="S171" s="7"/>
      <c r="T171" s="7"/>
      <c r="U171" s="7"/>
      <c r="V171" s="7"/>
      <c r="W171" s="7"/>
      <c r="X171" s="7"/>
      <c r="Y171" s="7">
        <v>0.1052118486525241</v>
      </c>
      <c r="Z171" s="14">
        <f>IFERROR(IF(INDEX('All GHED Countries'!$D$5:$AB$199,MATCH($B171,'All GHED Countries'!$B$5:$B$199,0),MATCH($D171,'All GHED Countries'!$D$4:$AB$4,0))="","",INDEX('All GHED Countries'!$D$5:$AB$199,MATCH($B171,'All GHED Countries'!$B$5:$B$199,0),MATCH($D171,'All GHED Countries'!$D$4:$AB$4,0))),"")</f>
        <v>0.1024196243</v>
      </c>
    </row>
    <row r="172" spans="1:26" x14ac:dyDescent="0.2">
      <c r="A172" s="6" t="s">
        <v>94</v>
      </c>
      <c r="B172" s="6" t="s">
        <v>95</v>
      </c>
      <c r="C172" s="6"/>
      <c r="D172" s="6" t="s">
        <v>27</v>
      </c>
      <c r="E172" s="6" t="s">
        <v>453</v>
      </c>
      <c r="F172" s="7">
        <v>0.28952699372804669</v>
      </c>
      <c r="G172" s="7"/>
      <c r="H172" s="7">
        <v>3.9081987517503081E-2</v>
      </c>
      <c r="I172" s="7">
        <v>5.5312927458309541E-2</v>
      </c>
      <c r="J172" s="7">
        <v>0.17342397821153771</v>
      </c>
      <c r="K172" s="7">
        <v>1.759125965319433E-2</v>
      </c>
      <c r="L172" s="7">
        <v>4.2958850687071039E-2</v>
      </c>
      <c r="M172" s="12">
        <f t="shared" si="4"/>
        <v>0.12382991338703821</v>
      </c>
      <c r="N172" s="7">
        <v>6.5710955810780458E-3</v>
      </c>
      <c r="O172" s="7">
        <v>0.1606781658138392</v>
      </c>
      <c r="P172" s="7">
        <v>9.1024827962383162E-2</v>
      </c>
      <c r="Q172" s="7"/>
      <c r="R172" s="13">
        <f t="shared" si="5"/>
        <v>1.0000000000000011</v>
      </c>
      <c r="S172" s="7"/>
      <c r="T172" s="7"/>
      <c r="U172" s="7"/>
      <c r="V172" s="7"/>
      <c r="W172" s="7"/>
      <c r="X172" s="7"/>
      <c r="Y172" s="7">
        <v>0.12382991338703821</v>
      </c>
      <c r="Z172" s="14">
        <f>IFERROR(IF(INDEX('All GHED Countries'!$D$5:$AB$199,MATCH($B172,'All GHED Countries'!$B$5:$B$199,0),MATCH($D172,'All GHED Countries'!$D$4:$AB$4,0))="","",INDEX('All GHED Countries'!$D$5:$AB$199,MATCH($B172,'All GHED Countries'!$B$5:$B$199,0),MATCH($D172,'All GHED Countries'!$D$4:$AB$4,0))),"")</f>
        <v>0.1214989853</v>
      </c>
    </row>
    <row r="173" spans="1:26" x14ac:dyDescent="0.2">
      <c r="A173" s="6" t="s">
        <v>94</v>
      </c>
      <c r="B173" s="6" t="s">
        <v>95</v>
      </c>
      <c r="C173" s="6"/>
      <c r="D173" s="6" t="s">
        <v>28</v>
      </c>
      <c r="E173" s="6" t="s">
        <v>453</v>
      </c>
      <c r="F173" s="7">
        <v>0.35220741492612112</v>
      </c>
      <c r="G173" s="7"/>
      <c r="H173" s="7">
        <v>4.4165877468144217E-2</v>
      </c>
      <c r="I173" s="7">
        <v>5.6513829768455523E-2</v>
      </c>
      <c r="J173" s="7">
        <v>0.16371664416435311</v>
      </c>
      <c r="K173" s="7">
        <v>1.267242662131695E-2</v>
      </c>
      <c r="L173" s="7">
        <v>4.5364931457745748E-2</v>
      </c>
      <c r="M173" s="12">
        <f t="shared" si="4"/>
        <v>9.510074395924209E-2</v>
      </c>
      <c r="N173" s="7">
        <v>6.91715471045531E-3</v>
      </c>
      <c r="O173" s="7">
        <v>0.1393261417748782</v>
      </c>
      <c r="P173" s="7">
        <v>8.4014835149288342E-2</v>
      </c>
      <c r="Q173" s="7"/>
      <c r="R173" s="13">
        <f t="shared" si="5"/>
        <v>1.0000000000000007</v>
      </c>
      <c r="S173" s="7"/>
      <c r="T173" s="7"/>
      <c r="U173" s="7"/>
      <c r="V173" s="7"/>
      <c r="W173" s="7"/>
      <c r="X173" s="7"/>
      <c r="Y173" s="7">
        <v>9.510074395924209E-2</v>
      </c>
      <c r="Z173" s="14">
        <f>IFERROR(IF(INDEX('All GHED Countries'!$D$5:$AB$199,MATCH($B173,'All GHED Countries'!$B$5:$B$199,0),MATCH($D173,'All GHED Countries'!$D$4:$AB$4,0))="","",INDEX('All GHED Countries'!$D$5:$AB$199,MATCH($B173,'All GHED Countries'!$B$5:$B$199,0),MATCH($D173,'All GHED Countries'!$D$4:$AB$4,0))),"")</f>
        <v>8.0798511500000003E-2</v>
      </c>
    </row>
    <row r="174" spans="1:26" x14ac:dyDescent="0.2">
      <c r="A174" s="6" t="s">
        <v>94</v>
      </c>
      <c r="B174" s="6" t="s">
        <v>95</v>
      </c>
      <c r="C174" s="6"/>
      <c r="D174" s="6" t="s">
        <v>29</v>
      </c>
      <c r="E174" s="6" t="s">
        <v>453</v>
      </c>
      <c r="F174" s="7">
        <v>0.33300993062596279</v>
      </c>
      <c r="G174" s="7"/>
      <c r="H174" s="7">
        <v>4.8753190593153882E-2</v>
      </c>
      <c r="I174" s="7">
        <v>6.5739200053184912E-2</v>
      </c>
      <c r="J174" s="7">
        <v>0.17083248660639291</v>
      </c>
      <c r="K174" s="7">
        <v>1.1122229586172341E-2</v>
      </c>
      <c r="L174" s="7">
        <v>5.6154029103679393E-2</v>
      </c>
      <c r="M174" s="12">
        <f t="shared" si="4"/>
        <v>8.5623343321682213E-2</v>
      </c>
      <c r="N174" s="7">
        <v>8.396664749896034E-3</v>
      </c>
      <c r="O174" s="7">
        <v>0.1452561222932682</v>
      </c>
      <c r="P174" s="7">
        <v>7.5112803066608641E-2</v>
      </c>
      <c r="Q174" s="7"/>
      <c r="R174" s="13">
        <f t="shared" si="5"/>
        <v>1.0000000000000013</v>
      </c>
      <c r="S174" s="7"/>
      <c r="T174" s="7"/>
      <c r="U174" s="7"/>
      <c r="V174" s="7"/>
      <c r="W174" s="7"/>
      <c r="X174" s="7"/>
      <c r="Y174" s="7">
        <v>8.5623343321682213E-2</v>
      </c>
      <c r="Z174" s="14">
        <f>IFERROR(IF(INDEX('All GHED Countries'!$D$5:$AB$199,MATCH($B174,'All GHED Countries'!$B$5:$B$199,0),MATCH($D174,'All GHED Countries'!$D$4:$AB$4,0))="","",INDEX('All GHED Countries'!$D$5:$AB$199,MATCH($B174,'All GHED Countries'!$B$5:$B$199,0),MATCH($D174,'All GHED Countries'!$D$4:$AB$4,0))),"")</f>
        <v>8.5207309700000011E-2</v>
      </c>
    </row>
    <row r="175" spans="1:26" x14ac:dyDescent="0.2">
      <c r="A175" s="6" t="s">
        <v>94</v>
      </c>
      <c r="B175" s="6" t="s">
        <v>95</v>
      </c>
      <c r="C175" s="6"/>
      <c r="D175" s="6" t="s">
        <v>30</v>
      </c>
      <c r="E175" s="6" t="s">
        <v>453</v>
      </c>
      <c r="F175" s="7">
        <v>0.32079862026896389</v>
      </c>
      <c r="G175" s="7"/>
      <c r="H175" s="7">
        <v>5.1276178372449382E-2</v>
      </c>
      <c r="I175" s="7">
        <v>7.5466067641287202E-2</v>
      </c>
      <c r="J175" s="7">
        <v>0.17544293704982791</v>
      </c>
      <c r="K175" s="7">
        <v>1.053531480125258E-2</v>
      </c>
      <c r="L175" s="7">
        <v>5.6773085656024153E-2</v>
      </c>
      <c r="M175" s="12">
        <f t="shared" si="4"/>
        <v>8.1283191669580382E-2</v>
      </c>
      <c r="N175" s="7">
        <v>7.762132996700687E-3</v>
      </c>
      <c r="O175" s="7">
        <v>0.145092723586108</v>
      </c>
      <c r="P175" s="7">
        <v>7.5569747957806105E-2</v>
      </c>
      <c r="Q175" s="7"/>
      <c r="R175" s="13">
        <f t="shared" si="5"/>
        <v>1.0000000000000002</v>
      </c>
      <c r="S175" s="7"/>
      <c r="T175" s="7"/>
      <c r="U175" s="7"/>
      <c r="V175" s="7"/>
      <c r="W175" s="7"/>
      <c r="X175" s="7"/>
      <c r="Y175" s="7">
        <v>8.1283191669580382E-2</v>
      </c>
      <c r="Z175" s="14" t="str">
        <f>IFERROR(IF(INDEX('All GHED Countries'!$D$5:$AB$199,MATCH($B175,'All GHED Countries'!$B$5:$B$199,0),MATCH($D175,'All GHED Countries'!$D$4:$AB$4,0))="","",INDEX('All GHED Countries'!$D$5:$AB$199,MATCH($B175,'All GHED Countries'!$B$5:$B$199,0),MATCH($D175,'All GHED Countries'!$D$4:$AB$4,0))),"")</f>
        <v/>
      </c>
    </row>
    <row r="176" spans="1:26" x14ac:dyDescent="0.2">
      <c r="A176" s="6" t="s">
        <v>98</v>
      </c>
      <c r="B176" s="6" t="s">
        <v>99</v>
      </c>
      <c r="C176" s="6"/>
      <c r="D176" s="6" t="s">
        <v>11</v>
      </c>
      <c r="E176" s="6" t="s">
        <v>452</v>
      </c>
      <c r="F176" s="7">
        <v>0.10723140849403</v>
      </c>
      <c r="G176" s="7">
        <v>0.407159224616923</v>
      </c>
      <c r="H176" s="7">
        <v>1.8285270028646699E-2</v>
      </c>
      <c r="I176" s="7">
        <v>8.3755436140964812E-2</v>
      </c>
      <c r="J176" s="7">
        <v>8.2016394939726608E-2</v>
      </c>
      <c r="K176" s="7">
        <v>1.8962470920731399E-3</v>
      </c>
      <c r="L176" s="7">
        <v>2.0705698575356202E-2</v>
      </c>
      <c r="M176" s="12">
        <f t="shared" si="4"/>
        <v>6.8641522311729805E-2</v>
      </c>
      <c r="N176" s="7">
        <v>1.31271845500163E-2</v>
      </c>
      <c r="O176" s="7">
        <v>0.17648507584642301</v>
      </c>
      <c r="P176" s="7">
        <v>1.3143786168842399E-2</v>
      </c>
      <c r="Q176" s="7">
        <v>7.5527512352680046E-3</v>
      </c>
      <c r="R176" s="13">
        <f t="shared" si="5"/>
        <v>0.99999999999999989</v>
      </c>
      <c r="S176" s="7">
        <v>0</v>
      </c>
      <c r="T176" s="7">
        <v>0</v>
      </c>
      <c r="U176" s="7">
        <v>0</v>
      </c>
      <c r="V176" s="7">
        <v>6.8641522311729805E-2</v>
      </c>
      <c r="W176" s="7">
        <v>0</v>
      </c>
      <c r="X176" s="7">
        <v>0</v>
      </c>
      <c r="Y176" s="7"/>
      <c r="Z176" s="14">
        <f>IFERROR(IF(INDEX('All GHED Countries'!$D$5:$AB$199,MATCH($B176,'All GHED Countries'!$B$5:$B$199,0),MATCH($D176,'All GHED Countries'!$D$4:$AB$4,0))="","",INDEX('All GHED Countries'!$D$5:$AB$199,MATCH($B176,'All GHED Countries'!$B$5:$B$199,0),MATCH($D176,'All GHED Countries'!$D$4:$AB$4,0))),"")</f>
        <v>7.4342040999999998E-2</v>
      </c>
    </row>
    <row r="177" spans="1:26" x14ac:dyDescent="0.2">
      <c r="A177" s="6" t="s">
        <v>98</v>
      </c>
      <c r="B177" s="6" t="s">
        <v>99</v>
      </c>
      <c r="C177" s="6"/>
      <c r="D177" s="6" t="s">
        <v>12</v>
      </c>
      <c r="E177" s="6" t="s">
        <v>452</v>
      </c>
      <c r="F177" s="7">
        <v>0.10502180770533499</v>
      </c>
      <c r="G177" s="7">
        <v>0.39605755944680898</v>
      </c>
      <c r="H177" s="7">
        <v>2.0811329070275199E-2</v>
      </c>
      <c r="I177" s="7">
        <v>9.3577369608775302E-2</v>
      </c>
      <c r="J177" s="7">
        <v>7.6619177232494506E-2</v>
      </c>
      <c r="K177" s="7">
        <v>2.2762037290196698E-3</v>
      </c>
      <c r="L177" s="7">
        <v>1.18165035033524E-2</v>
      </c>
      <c r="M177" s="12">
        <f t="shared" si="4"/>
        <v>7.7169258644118999E-2</v>
      </c>
      <c r="N177" s="7">
        <v>2.3573284744808201E-2</v>
      </c>
      <c r="O177" s="7">
        <v>0.17982303683723</v>
      </c>
      <c r="P177" s="7">
        <v>1.32542409539239E-2</v>
      </c>
      <c r="Q177" s="7"/>
      <c r="R177" s="13">
        <f t="shared" si="5"/>
        <v>0.99999977147614205</v>
      </c>
      <c r="S177" s="7">
        <v>0</v>
      </c>
      <c r="T177" s="7">
        <v>0</v>
      </c>
      <c r="U177" s="7">
        <v>0</v>
      </c>
      <c r="V177" s="7">
        <v>7.7169258644118999E-2</v>
      </c>
      <c r="W177" s="7">
        <v>0</v>
      </c>
      <c r="X177" s="7">
        <v>0</v>
      </c>
      <c r="Y177" s="7"/>
      <c r="Z177" s="14">
        <f>IFERROR(IF(INDEX('All GHED Countries'!$D$5:$AB$199,MATCH($B177,'All GHED Countries'!$B$5:$B$199,0),MATCH($D177,'All GHED Countries'!$D$4:$AB$4,0))="","",INDEX('All GHED Countries'!$D$5:$AB$199,MATCH($B177,'All GHED Countries'!$B$5:$B$199,0),MATCH($D177,'All GHED Countries'!$D$4:$AB$4,0))),"")</f>
        <v>6.2574462900000002E-2</v>
      </c>
    </row>
    <row r="178" spans="1:26" x14ac:dyDescent="0.2">
      <c r="A178" s="6" t="s">
        <v>98</v>
      </c>
      <c r="B178" s="6" t="s">
        <v>99</v>
      </c>
      <c r="C178" s="6"/>
      <c r="D178" s="6" t="s">
        <v>13</v>
      </c>
      <c r="E178" s="6" t="s">
        <v>452</v>
      </c>
      <c r="F178" s="7">
        <v>0.11559381387019189</v>
      </c>
      <c r="G178" s="7">
        <v>0.34445798131911298</v>
      </c>
      <c r="H178" s="7">
        <v>1.99877269368272E-2</v>
      </c>
      <c r="I178" s="7">
        <v>8.8274278162801992E-2</v>
      </c>
      <c r="J178" s="7">
        <v>0.12289759465271299</v>
      </c>
      <c r="K178" s="7">
        <v>1.8703156310957501E-3</v>
      </c>
      <c r="L178" s="7">
        <v>2.39347300725E-2</v>
      </c>
      <c r="M178" s="12">
        <f t="shared" si="4"/>
        <v>7.7723974248869898E-2</v>
      </c>
      <c r="N178" s="7">
        <v>1.8758952645349401E-2</v>
      </c>
      <c r="O178" s="7">
        <v>0.17335891136897699</v>
      </c>
      <c r="P178" s="7">
        <v>1.3142476715466001E-2</v>
      </c>
      <c r="Q178" s="7"/>
      <c r="R178" s="13">
        <f t="shared" si="5"/>
        <v>1.0000007556239052</v>
      </c>
      <c r="S178" s="7">
        <v>0</v>
      </c>
      <c r="T178" s="7">
        <v>0</v>
      </c>
      <c r="U178" s="7">
        <v>0</v>
      </c>
      <c r="V178" s="7">
        <v>7.7723974248869898E-2</v>
      </c>
      <c r="W178" s="7">
        <v>0</v>
      </c>
      <c r="X178" s="7">
        <v>0</v>
      </c>
      <c r="Y178" s="7"/>
      <c r="Z178" s="14">
        <f>IFERROR(IF(INDEX('All GHED Countries'!$D$5:$AB$199,MATCH($B178,'All GHED Countries'!$B$5:$B$199,0),MATCH($D178,'All GHED Countries'!$D$4:$AB$4,0))="","",INDEX('All GHED Countries'!$D$5:$AB$199,MATCH($B178,'All GHED Countries'!$B$5:$B$199,0),MATCH($D178,'All GHED Countries'!$D$4:$AB$4,0))),"")</f>
        <v>8.2274961500000007E-2</v>
      </c>
    </row>
    <row r="179" spans="1:26" x14ac:dyDescent="0.2">
      <c r="A179" s="6" t="s">
        <v>98</v>
      </c>
      <c r="B179" s="6" t="s">
        <v>99</v>
      </c>
      <c r="C179" s="6"/>
      <c r="D179" s="6" t="s">
        <v>14</v>
      </c>
      <c r="E179" s="6" t="s">
        <v>452</v>
      </c>
      <c r="F179" s="7">
        <v>6.8080061724571053E-2</v>
      </c>
      <c r="G179" s="7">
        <v>0.35284659529293799</v>
      </c>
      <c r="H179" s="7">
        <v>3.0066734060586901E-2</v>
      </c>
      <c r="I179" s="7">
        <v>9.7942609102121506E-2</v>
      </c>
      <c r="J179" s="7">
        <v>0.140897278712344</v>
      </c>
      <c r="K179" s="7">
        <v>1.94355806108255E-3</v>
      </c>
      <c r="L179" s="7">
        <v>2.3146666253667701E-2</v>
      </c>
      <c r="M179" s="12">
        <f t="shared" si="4"/>
        <v>8.1264162578915597E-2</v>
      </c>
      <c r="N179" s="7">
        <v>9.9686561952659E-3</v>
      </c>
      <c r="O179" s="7">
        <v>0.179589531602868</v>
      </c>
      <c r="P179" s="7">
        <v>1.4252054200481E-2</v>
      </c>
      <c r="Q179" s="7"/>
      <c r="R179" s="13">
        <f t="shared" si="5"/>
        <v>0.99999790778484232</v>
      </c>
      <c r="S179" s="7">
        <v>0</v>
      </c>
      <c r="T179" s="7">
        <v>0</v>
      </c>
      <c r="U179" s="7">
        <v>0</v>
      </c>
      <c r="V179" s="7">
        <v>8.1264162578915597E-2</v>
      </c>
      <c r="W179" s="7">
        <v>0</v>
      </c>
      <c r="X179" s="7">
        <v>0</v>
      </c>
      <c r="Y179" s="7"/>
      <c r="Z179" s="14">
        <f>IFERROR(IF(INDEX('All GHED Countries'!$D$5:$AB$199,MATCH($B179,'All GHED Countries'!$B$5:$B$199,0),MATCH($D179,'All GHED Countries'!$D$4:$AB$4,0))="","",INDEX('All GHED Countries'!$D$5:$AB$199,MATCH($B179,'All GHED Countries'!$B$5:$B$199,0),MATCH($D179,'All GHED Countries'!$D$4:$AB$4,0))),"")</f>
        <v>8.35763645E-2</v>
      </c>
    </row>
    <row r="180" spans="1:26" x14ac:dyDescent="0.2">
      <c r="A180" s="6" t="s">
        <v>98</v>
      </c>
      <c r="B180" s="6" t="s">
        <v>99</v>
      </c>
      <c r="C180" s="6"/>
      <c r="D180" s="6" t="s">
        <v>15</v>
      </c>
      <c r="E180" s="6" t="s">
        <v>452</v>
      </c>
      <c r="F180" s="7">
        <v>9.7851812696734985E-2</v>
      </c>
      <c r="G180" s="7">
        <v>0.44934306708382699</v>
      </c>
      <c r="H180" s="7">
        <v>2.35619621793315E-2</v>
      </c>
      <c r="I180" s="7">
        <v>7.6516612616731206E-2</v>
      </c>
      <c r="J180" s="7">
        <v>9.0202675352753198E-2</v>
      </c>
      <c r="K180" s="7">
        <v>1.46244362853646E-3</v>
      </c>
      <c r="L180" s="7">
        <v>1.54601863889405E-2</v>
      </c>
      <c r="M180" s="12">
        <f t="shared" si="4"/>
        <v>7.2012848169683508E-2</v>
      </c>
      <c r="N180" s="7">
        <v>8.7006109785657502E-3</v>
      </c>
      <c r="O180" s="7">
        <v>0.17388245210509001</v>
      </c>
      <c r="P180" s="7">
        <v>1.3962979365782301E-2</v>
      </c>
      <c r="Q180" s="7"/>
      <c r="R180" s="13">
        <f t="shared" si="5"/>
        <v>1.0229576505659763</v>
      </c>
      <c r="S180" s="7"/>
      <c r="T180" s="7"/>
      <c r="U180" s="7"/>
      <c r="V180" s="7"/>
      <c r="W180" s="7"/>
      <c r="X180" s="7"/>
      <c r="Y180" s="7">
        <v>7.2012848169683508E-2</v>
      </c>
      <c r="Z180" s="14">
        <f>IFERROR(IF(INDEX('All GHED Countries'!$D$5:$AB$199,MATCH($B180,'All GHED Countries'!$B$5:$B$199,0),MATCH($D180,'All GHED Countries'!$D$4:$AB$4,0))="","",INDEX('All GHED Countries'!$D$5:$AB$199,MATCH($B180,'All GHED Countries'!$B$5:$B$199,0),MATCH($D180,'All GHED Countries'!$D$4:$AB$4,0))),"")</f>
        <v>7.4510445600000003E-2</v>
      </c>
    </row>
    <row r="181" spans="1:26" x14ac:dyDescent="0.2">
      <c r="A181" s="6" t="s">
        <v>98</v>
      </c>
      <c r="B181" s="6" t="s">
        <v>99</v>
      </c>
      <c r="C181" s="6"/>
      <c r="D181" s="6" t="s">
        <v>16</v>
      </c>
      <c r="E181" s="6" t="s">
        <v>452</v>
      </c>
      <c r="F181" s="7">
        <v>0.11287224658657501</v>
      </c>
      <c r="G181" s="7">
        <v>0.31893006671553298</v>
      </c>
      <c r="H181" s="7">
        <v>2.5190642432073099E-2</v>
      </c>
      <c r="I181" s="7">
        <v>8.6481966927979492E-2</v>
      </c>
      <c r="J181" s="7">
        <v>0.15399435961784499</v>
      </c>
      <c r="K181" s="7">
        <v>1.7693903666248401E-3</v>
      </c>
      <c r="L181" s="7">
        <v>1.7670795492663802E-2</v>
      </c>
      <c r="M181" s="12">
        <f t="shared" si="4"/>
        <v>8.6038439080145607E-2</v>
      </c>
      <c r="N181" s="7">
        <v>8.5492788013566707E-3</v>
      </c>
      <c r="O181" s="7">
        <v>0.17713160477568901</v>
      </c>
      <c r="P181" s="7">
        <v>1.75691692238884E-2</v>
      </c>
      <c r="Q181" s="7"/>
      <c r="R181" s="13">
        <f t="shared" si="5"/>
        <v>1.0061979600203739</v>
      </c>
      <c r="S181" s="7"/>
      <c r="T181" s="7"/>
      <c r="U181" s="7"/>
      <c r="V181" s="7"/>
      <c r="W181" s="7"/>
      <c r="X181" s="7"/>
      <c r="Y181" s="7">
        <v>8.6038439080145607E-2</v>
      </c>
      <c r="Z181" s="14">
        <f>IFERROR(IF(INDEX('All GHED Countries'!$D$5:$AB$199,MATCH($B181,'All GHED Countries'!$B$5:$B$199,0),MATCH($D181,'All GHED Countries'!$D$4:$AB$4,0))="","",INDEX('All GHED Countries'!$D$5:$AB$199,MATCH($B181,'All GHED Countries'!$B$5:$B$199,0),MATCH($D181,'All GHED Countries'!$D$4:$AB$4,0))),"")</f>
        <v>9.0329322799999986E-2</v>
      </c>
    </row>
    <row r="182" spans="1:26" x14ac:dyDescent="0.2">
      <c r="A182" s="6" t="s">
        <v>98</v>
      </c>
      <c r="B182" s="6" t="s">
        <v>99</v>
      </c>
      <c r="C182" s="6"/>
      <c r="D182" s="6" t="s">
        <v>17</v>
      </c>
      <c r="E182" s="6" t="s">
        <v>452</v>
      </c>
      <c r="F182" s="7">
        <v>0.152016219212182</v>
      </c>
      <c r="G182" s="7">
        <v>0.29342382901760999</v>
      </c>
      <c r="H182" s="7">
        <v>2.89901547048356E-2</v>
      </c>
      <c r="I182" s="7">
        <v>9.7383370931826807E-2</v>
      </c>
      <c r="J182" s="7">
        <v>0.120179138184187</v>
      </c>
      <c r="K182" s="7">
        <v>2.2781453894847401E-3</v>
      </c>
      <c r="L182" s="7">
        <v>2.0238965976604701E-2</v>
      </c>
      <c r="M182" s="12">
        <f t="shared" si="4"/>
        <v>9.0878314582705302E-2</v>
      </c>
      <c r="N182" s="7">
        <v>9.2618143541972602E-3</v>
      </c>
      <c r="O182" s="7">
        <v>0.18621321262920401</v>
      </c>
      <c r="P182" s="7">
        <v>1.7646179539288799E-2</v>
      </c>
      <c r="Q182" s="7"/>
      <c r="R182" s="13">
        <f t="shared" si="5"/>
        <v>1.0185093445221265</v>
      </c>
      <c r="S182" s="7"/>
      <c r="T182" s="7"/>
      <c r="U182" s="7"/>
      <c r="V182" s="7"/>
      <c r="W182" s="7"/>
      <c r="X182" s="7"/>
      <c r="Y182" s="7">
        <v>9.0878314582705302E-2</v>
      </c>
      <c r="Z182" s="14">
        <f>IFERROR(IF(INDEX('All GHED Countries'!$D$5:$AB$199,MATCH($B182,'All GHED Countries'!$B$5:$B$199,0),MATCH($D182,'All GHED Countries'!$D$4:$AB$4,0))="","",INDEX('All GHED Countries'!$D$5:$AB$199,MATCH($B182,'All GHED Countries'!$B$5:$B$199,0),MATCH($D182,'All GHED Countries'!$D$4:$AB$4,0))),"")</f>
        <v>9.5287666300000004E-2</v>
      </c>
    </row>
    <row r="183" spans="1:26" x14ac:dyDescent="0.2">
      <c r="A183" s="6" t="s">
        <v>98</v>
      </c>
      <c r="B183" s="6" t="s">
        <v>99</v>
      </c>
      <c r="C183" s="6"/>
      <c r="D183" s="6" t="s">
        <v>18</v>
      </c>
      <c r="E183" s="6" t="s">
        <v>452</v>
      </c>
      <c r="F183" s="7">
        <v>0.13577368499164499</v>
      </c>
      <c r="G183" s="7">
        <v>0.30385825150686802</v>
      </c>
      <c r="H183" s="7">
        <v>2.9471890155450299E-2</v>
      </c>
      <c r="I183" s="7">
        <v>0.102111290376633</v>
      </c>
      <c r="J183" s="7">
        <v>9.3548116834309206E-2</v>
      </c>
      <c r="K183" s="7">
        <v>5.0819381741407602E-3</v>
      </c>
      <c r="L183" s="7">
        <v>1.8123824068710302E-2</v>
      </c>
      <c r="M183" s="12">
        <f t="shared" si="4"/>
        <v>8.7048837354040898E-2</v>
      </c>
      <c r="N183" s="7">
        <v>1.10648850759059E-2</v>
      </c>
      <c r="O183" s="7">
        <v>0.19647998582898099</v>
      </c>
      <c r="P183" s="7">
        <v>1.7436816882662999E-2</v>
      </c>
      <c r="Q183" s="7"/>
      <c r="R183" s="13">
        <f t="shared" si="5"/>
        <v>0.99999952124934721</v>
      </c>
      <c r="S183" s="7"/>
      <c r="T183" s="7"/>
      <c r="U183" s="7"/>
      <c r="V183" s="7"/>
      <c r="W183" s="7"/>
      <c r="X183" s="7"/>
      <c r="Y183" s="7">
        <v>8.7048837354040898E-2</v>
      </c>
      <c r="Z183" s="14">
        <f>IFERROR(IF(INDEX('All GHED Countries'!$D$5:$AB$199,MATCH($B183,'All GHED Countries'!$B$5:$B$199,0),MATCH($D183,'All GHED Countries'!$D$4:$AB$4,0))="","",INDEX('All GHED Countries'!$D$5:$AB$199,MATCH($B183,'All GHED Countries'!$B$5:$B$199,0),MATCH($D183,'All GHED Countries'!$D$4:$AB$4,0))),"")</f>
        <v>9.1577920899999998E-2</v>
      </c>
    </row>
    <row r="184" spans="1:26" x14ac:dyDescent="0.2">
      <c r="A184" s="6" t="s">
        <v>98</v>
      </c>
      <c r="B184" s="6" t="s">
        <v>99</v>
      </c>
      <c r="C184" s="6"/>
      <c r="D184" s="6" t="s">
        <v>19</v>
      </c>
      <c r="E184" s="6" t="s">
        <v>452</v>
      </c>
      <c r="F184" s="7">
        <v>0.14342097935286099</v>
      </c>
      <c r="G184" s="7">
        <v>0.26615849893580201</v>
      </c>
      <c r="H184" s="7">
        <v>3.1626903510279997E-2</v>
      </c>
      <c r="I184" s="7">
        <v>0.106129732897161</v>
      </c>
      <c r="J184" s="7">
        <v>8.8021414717654595E-2</v>
      </c>
      <c r="K184" s="7">
        <v>4.8398617874170404E-3</v>
      </c>
      <c r="L184" s="7">
        <v>2.0774261659568E-2</v>
      </c>
      <c r="M184" s="12">
        <f t="shared" si="4"/>
        <v>9.9308210670069494E-2</v>
      </c>
      <c r="N184" s="7">
        <v>8.304377619634519E-3</v>
      </c>
      <c r="O184" s="7">
        <v>0.21031485252562401</v>
      </c>
      <c r="P184" s="7">
        <v>2.1098727078576299E-2</v>
      </c>
      <c r="Q184" s="7"/>
      <c r="R184" s="13">
        <f t="shared" si="5"/>
        <v>0.99999782075464783</v>
      </c>
      <c r="S184" s="7"/>
      <c r="T184" s="7"/>
      <c r="U184" s="7"/>
      <c r="V184" s="7"/>
      <c r="W184" s="7"/>
      <c r="X184" s="7"/>
      <c r="Y184" s="7">
        <v>9.9308210670069494E-2</v>
      </c>
      <c r="Z184" s="14">
        <f>IFERROR(IF(INDEX('All GHED Countries'!$D$5:$AB$199,MATCH($B184,'All GHED Countries'!$B$5:$B$199,0),MATCH($D184,'All GHED Countries'!$D$4:$AB$4,0))="","",INDEX('All GHED Countries'!$D$5:$AB$199,MATCH($B184,'All GHED Countries'!$B$5:$B$199,0),MATCH($D184,'All GHED Countries'!$D$4:$AB$4,0))),"")</f>
        <v>0.10769290920000001</v>
      </c>
    </row>
    <row r="185" spans="1:26" x14ac:dyDescent="0.2">
      <c r="A185" s="6" t="s">
        <v>98</v>
      </c>
      <c r="B185" s="6" t="s">
        <v>99</v>
      </c>
      <c r="C185" s="6"/>
      <c r="D185" s="6" t="s">
        <v>20</v>
      </c>
      <c r="E185" s="6" t="s">
        <v>452</v>
      </c>
      <c r="F185" s="7">
        <v>0.144922868576014</v>
      </c>
      <c r="G185" s="7">
        <v>0.27746373262513802</v>
      </c>
      <c r="H185" s="7">
        <v>3.0282901716583099E-2</v>
      </c>
      <c r="I185" s="7">
        <v>0.105037125536824</v>
      </c>
      <c r="J185" s="7">
        <v>8.9327232420035096E-2</v>
      </c>
      <c r="K185" s="7">
        <v>4.7349575518879899E-3</v>
      </c>
      <c r="L185" s="7">
        <v>2.30503636654418E-2</v>
      </c>
      <c r="M185" s="12">
        <f t="shared" si="4"/>
        <v>0.100317940591881</v>
      </c>
      <c r="N185" s="7">
        <v>8.5985509930176403E-3</v>
      </c>
      <c r="O185" s="7">
        <v>0.192541910995464</v>
      </c>
      <c r="P185" s="7">
        <v>2.3722415327713402E-2</v>
      </c>
      <c r="Q185" s="7"/>
      <c r="R185" s="13">
        <f t="shared" si="5"/>
        <v>1.0000000000000002</v>
      </c>
      <c r="S185" s="7"/>
      <c r="T185" s="7"/>
      <c r="U185" s="7"/>
      <c r="V185" s="7"/>
      <c r="W185" s="7"/>
      <c r="X185" s="7"/>
      <c r="Y185" s="7">
        <v>0.100317940591881</v>
      </c>
      <c r="Z185" s="14">
        <f>IFERROR(IF(INDEX('All GHED Countries'!$D$5:$AB$199,MATCH($B185,'All GHED Countries'!$B$5:$B$199,0),MATCH($D185,'All GHED Countries'!$D$4:$AB$4,0))="","",INDEX('All GHED Countries'!$D$5:$AB$199,MATCH($B185,'All GHED Countries'!$B$5:$B$199,0),MATCH($D185,'All GHED Countries'!$D$4:$AB$4,0))),"")</f>
        <v>0.11251960749999999</v>
      </c>
    </row>
    <row r="186" spans="1:26" x14ac:dyDescent="0.2">
      <c r="A186" s="6" t="s">
        <v>98</v>
      </c>
      <c r="B186" s="6" t="s">
        <v>99</v>
      </c>
      <c r="C186" s="6"/>
      <c r="D186" s="6" t="s">
        <v>21</v>
      </c>
      <c r="E186" s="6" t="s">
        <v>452</v>
      </c>
      <c r="F186" s="7">
        <v>0.19300066059403401</v>
      </c>
      <c r="G186" s="7">
        <v>0.26119442533951098</v>
      </c>
      <c r="H186" s="7">
        <v>2.91812083878858E-2</v>
      </c>
      <c r="I186" s="7">
        <v>9.9755902752477893E-2</v>
      </c>
      <c r="J186" s="7">
        <v>7.4095559147980397E-2</v>
      </c>
      <c r="K186" s="7">
        <v>4.34624155329753E-3</v>
      </c>
      <c r="L186" s="7">
        <v>1.9516233018736801E-2</v>
      </c>
      <c r="M186" s="12">
        <f t="shared" si="4"/>
        <v>0.109927120180356</v>
      </c>
      <c r="N186" s="7">
        <v>8.8682203227620996E-3</v>
      </c>
      <c r="O186" s="7">
        <v>0.17705018265988301</v>
      </c>
      <c r="P186" s="7">
        <v>2.30642460430758E-2</v>
      </c>
      <c r="Q186" s="7"/>
      <c r="R186" s="13">
        <f t="shared" si="5"/>
        <v>1.0000000000000004</v>
      </c>
      <c r="S186" s="7"/>
      <c r="T186" s="7"/>
      <c r="U186" s="7"/>
      <c r="V186" s="7"/>
      <c r="W186" s="7"/>
      <c r="X186" s="7"/>
      <c r="Y186" s="7">
        <v>0.109927120180356</v>
      </c>
      <c r="Z186" s="14">
        <f>IFERROR(IF(INDEX('All GHED Countries'!$D$5:$AB$199,MATCH($B186,'All GHED Countries'!$B$5:$B$199,0),MATCH($D186,'All GHED Countries'!$D$4:$AB$4,0))="","",INDEX('All GHED Countries'!$D$5:$AB$199,MATCH($B186,'All GHED Countries'!$B$5:$B$199,0),MATCH($D186,'All GHED Countries'!$D$4:$AB$4,0))),"")</f>
        <v>0.12820219990000001</v>
      </c>
    </row>
    <row r="187" spans="1:26" x14ac:dyDescent="0.2">
      <c r="A187" s="6" t="s">
        <v>100</v>
      </c>
      <c r="B187" s="6" t="s">
        <v>101</v>
      </c>
      <c r="C187" s="6"/>
      <c r="D187" s="6" t="s">
        <v>11</v>
      </c>
      <c r="E187" s="6" t="s">
        <v>452</v>
      </c>
      <c r="F187" s="7">
        <v>7.8240372600249894E-2</v>
      </c>
      <c r="G187" s="7">
        <v>5.8815176644325798E-2</v>
      </c>
      <c r="H187" s="7">
        <v>0.1222594570032943</v>
      </c>
      <c r="I187" s="7">
        <v>8.1733499943201171E-2</v>
      </c>
      <c r="J187" s="7">
        <v>8.039872770646371E-2</v>
      </c>
      <c r="K187" s="7">
        <v>1.81756219470635E-3</v>
      </c>
      <c r="L187" s="7">
        <v>7.0146540951948203E-3</v>
      </c>
      <c r="M187" s="12">
        <f t="shared" si="4"/>
        <v>8.2045893445416337E-2</v>
      </c>
      <c r="N187" s="7">
        <v>2.0163580597523569E-2</v>
      </c>
      <c r="O187" s="7">
        <v>0.1286209246847666</v>
      </c>
      <c r="P187" s="7">
        <v>0.32914915369760311</v>
      </c>
      <c r="Q187" s="7">
        <v>9.7409973872544242E-3</v>
      </c>
      <c r="R187" s="13">
        <f t="shared" si="5"/>
        <v>1</v>
      </c>
      <c r="S187" s="7"/>
      <c r="T187" s="7">
        <v>1.2552538907190731E-2</v>
      </c>
      <c r="U187" s="7">
        <v>6.6738611836873782E-2</v>
      </c>
      <c r="V187" s="7">
        <v>2.8399409292286E-5</v>
      </c>
      <c r="W187" s="7"/>
      <c r="X187" s="7"/>
      <c r="Y187" s="7">
        <v>2.726343292059541E-3</v>
      </c>
      <c r="Z187" s="14">
        <f>IFERROR(IF(INDEX('All GHED Countries'!$D$5:$AB$199,MATCH($B187,'All GHED Countries'!$B$5:$B$199,0),MATCH($D187,'All GHED Countries'!$D$4:$AB$4,0))="","",INDEX('All GHED Countries'!$D$5:$AB$199,MATCH($B187,'All GHED Countries'!$B$5:$B$199,0),MATCH($D187,'All GHED Countries'!$D$4:$AB$4,0))),"")</f>
        <v>0.1178674316</v>
      </c>
    </row>
    <row r="188" spans="1:26" x14ac:dyDescent="0.2">
      <c r="A188" s="6" t="s">
        <v>100</v>
      </c>
      <c r="B188" s="6" t="s">
        <v>101</v>
      </c>
      <c r="C188" s="6"/>
      <c r="D188" s="6" t="s">
        <v>12</v>
      </c>
      <c r="E188" s="6" t="s">
        <v>452</v>
      </c>
      <c r="F188" s="7">
        <v>0.1055371215263376</v>
      </c>
      <c r="G188" s="7">
        <v>6.8949605972625477E-2</v>
      </c>
      <c r="H188" s="7">
        <v>0.12893768145997511</v>
      </c>
      <c r="I188" s="7">
        <v>8.4879199502281219E-2</v>
      </c>
      <c r="J188" s="7">
        <v>8.4596640398175021E-2</v>
      </c>
      <c r="K188" s="7">
        <v>3.688822065532974E-3</v>
      </c>
      <c r="L188" s="7">
        <v>7.2298838656159273E-3</v>
      </c>
      <c r="M188" s="12">
        <f t="shared" si="4"/>
        <v>0.11103276648693489</v>
      </c>
      <c r="N188" s="7">
        <v>1.288106594773953E-2</v>
      </c>
      <c r="O188" s="7">
        <v>0.13294276233927829</v>
      </c>
      <c r="P188" s="7">
        <v>0.2600580671920365</v>
      </c>
      <c r="Q188" s="7"/>
      <c r="R188" s="13">
        <f t="shared" si="5"/>
        <v>1.0007336167565324</v>
      </c>
      <c r="S188" s="7"/>
      <c r="T188" s="7">
        <v>1.154344670261302E-2</v>
      </c>
      <c r="U188" s="7">
        <v>8.5773537951057646E-2</v>
      </c>
      <c r="V188" s="7">
        <v>6.9706553297386974E-3</v>
      </c>
      <c r="W188" s="7"/>
      <c r="X188" s="7"/>
      <c r="Y188" s="7">
        <v>6.7451265035255222E-3</v>
      </c>
      <c r="Z188" s="14">
        <f>IFERROR(IF(INDEX('All GHED Countries'!$D$5:$AB$199,MATCH($B188,'All GHED Countries'!$B$5:$B$199,0),MATCH($D188,'All GHED Countries'!$D$4:$AB$4,0))="","",INDEX('All GHED Countries'!$D$5:$AB$199,MATCH($B188,'All GHED Countries'!$B$5:$B$199,0),MATCH($D188,'All GHED Countries'!$D$4:$AB$4,0))),"")</f>
        <v>0.11360123630000001</v>
      </c>
    </row>
    <row r="189" spans="1:26" x14ac:dyDescent="0.2">
      <c r="A189" s="6" t="s">
        <v>100</v>
      </c>
      <c r="B189" s="6" t="s">
        <v>101</v>
      </c>
      <c r="C189" s="6"/>
      <c r="D189" s="6" t="s">
        <v>13</v>
      </c>
      <c r="E189" s="6" t="s">
        <v>452</v>
      </c>
      <c r="F189" s="7">
        <v>9.0768925794585981E-2</v>
      </c>
      <c r="G189" s="7">
        <v>7.0681262527257108E-2</v>
      </c>
      <c r="H189" s="7">
        <v>0.16695667496310651</v>
      </c>
      <c r="I189" s="7">
        <v>8.7883526794564001E-2</v>
      </c>
      <c r="J189" s="7">
        <v>7.5548996718133962E-2</v>
      </c>
      <c r="K189" s="7">
        <v>1.101297328252682E-3</v>
      </c>
      <c r="L189" s="7">
        <v>8.3698596947203805E-3</v>
      </c>
      <c r="M189" s="12">
        <f t="shared" si="4"/>
        <v>7.1364066870773776E-2</v>
      </c>
      <c r="N189" s="7">
        <v>8.6121451069359704E-3</v>
      </c>
      <c r="O189" s="7">
        <v>0.1389837228254884</v>
      </c>
      <c r="P189" s="7">
        <v>0.27972952137618112</v>
      </c>
      <c r="Q189" s="7"/>
      <c r="R189" s="13">
        <f t="shared" si="5"/>
        <v>1</v>
      </c>
      <c r="S189" s="7"/>
      <c r="T189" s="7">
        <v>1.0792713816876281E-2</v>
      </c>
      <c r="U189" s="7">
        <v>5.924979625999427E-2</v>
      </c>
      <c r="V189" s="7">
        <v>0</v>
      </c>
      <c r="W189" s="7"/>
      <c r="X189" s="7"/>
      <c r="Y189" s="7">
        <v>1.321556793903227E-3</v>
      </c>
      <c r="Z189" s="14">
        <f>IFERROR(IF(INDEX('All GHED Countries'!$D$5:$AB$199,MATCH($B189,'All GHED Countries'!$B$5:$B$199,0),MATCH($D189,'All GHED Countries'!$D$4:$AB$4,0))="","",INDEX('All GHED Countries'!$D$5:$AB$199,MATCH($B189,'All GHED Countries'!$B$5:$B$199,0),MATCH($D189,'All GHED Countries'!$D$4:$AB$4,0))),"")</f>
        <v>0.12519184110000001</v>
      </c>
    </row>
    <row r="190" spans="1:26" x14ac:dyDescent="0.2">
      <c r="A190" s="6" t="s">
        <v>100</v>
      </c>
      <c r="B190" s="6" t="s">
        <v>101</v>
      </c>
      <c r="C190" s="6"/>
      <c r="D190" s="6" t="s">
        <v>14</v>
      </c>
      <c r="E190" s="6" t="s">
        <v>452</v>
      </c>
      <c r="F190" s="7">
        <v>8.896285500452987E-2</v>
      </c>
      <c r="G190" s="7">
        <v>7.4408161657541258E-2</v>
      </c>
      <c r="H190" s="7">
        <v>0.1874581478709576</v>
      </c>
      <c r="I190" s="7">
        <v>0.1084807184779612</v>
      </c>
      <c r="J190" s="7">
        <v>8.5240477409697882E-2</v>
      </c>
      <c r="K190" s="7">
        <v>1.201402292511916E-3</v>
      </c>
      <c r="L190" s="7">
        <v>3.3265056918895503E-2</v>
      </c>
      <c r="M190" s="12">
        <f t="shared" si="4"/>
        <v>0.10367510930791352</v>
      </c>
      <c r="N190" s="7">
        <v>1.9458778114783162E-2</v>
      </c>
      <c r="O190" s="7">
        <v>0.1162996809390633</v>
      </c>
      <c r="P190" s="7">
        <v>0.18154961200614489</v>
      </c>
      <c r="Q190" s="7"/>
      <c r="R190" s="13">
        <f t="shared" si="5"/>
        <v>1</v>
      </c>
      <c r="S190" s="7"/>
      <c r="T190" s="7">
        <v>1.2210974120612911E-3</v>
      </c>
      <c r="U190" s="7">
        <v>5.4752432347264353E-2</v>
      </c>
      <c r="V190" s="7">
        <v>1.002481585063221E-2</v>
      </c>
      <c r="W190" s="7"/>
      <c r="X190" s="7"/>
      <c r="Y190" s="7">
        <v>3.7676763697955667E-2</v>
      </c>
      <c r="Z190" s="14">
        <f>IFERROR(IF(INDEX('All GHED Countries'!$D$5:$AB$199,MATCH($B190,'All GHED Countries'!$B$5:$B$199,0),MATCH($D190,'All GHED Countries'!$D$4:$AB$4,0))="","",INDEX('All GHED Countries'!$D$5:$AB$199,MATCH($B190,'All GHED Countries'!$B$5:$B$199,0),MATCH($D190,'All GHED Countries'!$D$4:$AB$4,0))),"")</f>
        <v>0.15125434879999999</v>
      </c>
    </row>
    <row r="191" spans="1:26" x14ac:dyDescent="0.2">
      <c r="A191" s="6" t="s">
        <v>100</v>
      </c>
      <c r="B191" s="6" t="s">
        <v>101</v>
      </c>
      <c r="C191" s="6"/>
      <c r="D191" s="6" t="s">
        <v>15</v>
      </c>
      <c r="E191" s="6" t="s">
        <v>452</v>
      </c>
      <c r="F191" s="7">
        <v>9.5288635346014172E-2</v>
      </c>
      <c r="G191" s="7">
        <v>6.5040380756538022E-2</v>
      </c>
      <c r="H191" s="7">
        <v>0.1652874745029104</v>
      </c>
      <c r="I191" s="7">
        <v>0.11513905242035791</v>
      </c>
      <c r="J191" s="7">
        <v>9.1623687832705927E-2</v>
      </c>
      <c r="K191" s="7">
        <v>7.9600669972305601E-4</v>
      </c>
      <c r="L191" s="7">
        <v>4.8373990481086551E-2</v>
      </c>
      <c r="M191" s="12">
        <f t="shared" si="4"/>
        <v>0.1157028904993284</v>
      </c>
      <c r="N191" s="7">
        <v>1.6765891112916868E-2</v>
      </c>
      <c r="O191" s="7">
        <v>0.10366328916601709</v>
      </c>
      <c r="P191" s="7">
        <v>0.18238503507404519</v>
      </c>
      <c r="Q191" s="7"/>
      <c r="R191" s="13">
        <f t="shared" si="5"/>
        <v>1.0000663338916436</v>
      </c>
      <c r="S191" s="7"/>
      <c r="T191" s="7"/>
      <c r="U191" s="7"/>
      <c r="V191" s="7"/>
      <c r="W191" s="7"/>
      <c r="X191" s="7"/>
      <c r="Y191" s="7">
        <v>0.1157028904993284</v>
      </c>
      <c r="Z191" s="14">
        <f>IFERROR(IF(INDEX('All GHED Countries'!$D$5:$AB$199,MATCH($B191,'All GHED Countries'!$B$5:$B$199,0),MATCH($D191,'All GHED Countries'!$D$4:$AB$4,0))="","",INDEX('All GHED Countries'!$D$5:$AB$199,MATCH($B191,'All GHED Countries'!$B$5:$B$199,0),MATCH($D191,'All GHED Countries'!$D$4:$AB$4,0))),"")</f>
        <v>0.17915904999999999</v>
      </c>
    </row>
    <row r="192" spans="1:26" x14ac:dyDescent="0.2">
      <c r="A192" s="6" t="s">
        <v>100</v>
      </c>
      <c r="B192" s="6" t="s">
        <v>101</v>
      </c>
      <c r="C192" s="6"/>
      <c r="D192" s="6" t="s">
        <v>16</v>
      </c>
      <c r="E192" s="6" t="s">
        <v>452</v>
      </c>
      <c r="F192" s="7">
        <v>7.3686054660126135E-2</v>
      </c>
      <c r="G192" s="7">
        <v>6.9656622284512956E-2</v>
      </c>
      <c r="H192" s="7">
        <v>0.1700770847932726</v>
      </c>
      <c r="I192" s="7">
        <v>0.13326909600560621</v>
      </c>
      <c r="J192" s="7">
        <v>7.978276103714084E-2</v>
      </c>
      <c r="K192" s="7">
        <v>5.7813594954449796E-4</v>
      </c>
      <c r="L192" s="7">
        <v>4.5777855641205331E-2</v>
      </c>
      <c r="M192" s="12">
        <f t="shared" si="4"/>
        <v>0.1091275402943238</v>
      </c>
      <c r="N192" s="7">
        <v>2.053258584442887E-2</v>
      </c>
      <c r="O192" s="7">
        <v>0.11203573931324461</v>
      </c>
      <c r="P192" s="7">
        <v>0.1854765241765943</v>
      </c>
      <c r="Q192" s="7"/>
      <c r="R192" s="13">
        <f t="shared" si="5"/>
        <v>1</v>
      </c>
      <c r="S192" s="7"/>
      <c r="T192" s="7">
        <v>4.2046250875963498E-4</v>
      </c>
      <c r="U192" s="7">
        <v>5.9670637701471622E-2</v>
      </c>
      <c r="V192" s="7">
        <v>9.5304835318850752E-3</v>
      </c>
      <c r="W192" s="7"/>
      <c r="X192" s="7"/>
      <c r="Y192" s="7">
        <v>3.9505956552207469E-2</v>
      </c>
      <c r="Z192" s="14">
        <f>IFERROR(IF(INDEX('All GHED Countries'!$D$5:$AB$199,MATCH($B192,'All GHED Countries'!$B$5:$B$199,0),MATCH($D192,'All GHED Countries'!$D$4:$AB$4,0))="","",INDEX('All GHED Countries'!$D$5:$AB$199,MATCH($B192,'All GHED Countries'!$B$5:$B$199,0),MATCH($D192,'All GHED Countries'!$D$4:$AB$4,0))),"")</f>
        <v>0.17020586009999999</v>
      </c>
    </row>
    <row r="193" spans="1:26" x14ac:dyDescent="0.2">
      <c r="A193" s="6" t="s">
        <v>100</v>
      </c>
      <c r="B193" s="6" t="s">
        <v>101</v>
      </c>
      <c r="C193" s="6"/>
      <c r="D193" s="6" t="s">
        <v>17</v>
      </c>
      <c r="E193" s="6" t="s">
        <v>452</v>
      </c>
      <c r="F193" s="7">
        <v>5.5365592410367502E-2</v>
      </c>
      <c r="G193" s="7">
        <v>6.3192989477153419E-2</v>
      </c>
      <c r="H193" s="7">
        <v>0.1447038536688717</v>
      </c>
      <c r="I193" s="7">
        <v>0.1242231455542739</v>
      </c>
      <c r="J193" s="7">
        <v>7.6626097601167634E-2</v>
      </c>
      <c r="K193" s="7">
        <v>2.869064714329433E-3</v>
      </c>
      <c r="L193" s="7">
        <v>3.7033004543421462E-2</v>
      </c>
      <c r="M193" s="12">
        <f t="shared" si="4"/>
        <v>9.9755173144377221E-2</v>
      </c>
      <c r="N193" s="7">
        <v>1.8435579933614259E-2</v>
      </c>
      <c r="O193" s="7">
        <v>0.11270274723981261</v>
      </c>
      <c r="P193" s="7">
        <v>0.2650721532992773</v>
      </c>
      <c r="Q193" s="7"/>
      <c r="R193" s="13">
        <f t="shared" si="5"/>
        <v>0.99997940158666632</v>
      </c>
      <c r="S193" s="7"/>
      <c r="T193" s="7">
        <v>4.11968266672944E-4</v>
      </c>
      <c r="U193" s="7">
        <v>5.64837919913369E-2</v>
      </c>
      <c r="V193" s="7">
        <v>8.1216601144094742E-3</v>
      </c>
      <c r="W193" s="7"/>
      <c r="X193" s="7"/>
      <c r="Y193" s="7">
        <v>3.4737752771957897E-2</v>
      </c>
      <c r="Z193" s="14">
        <f>IFERROR(IF(INDEX('All GHED Countries'!$D$5:$AB$199,MATCH($B193,'All GHED Countries'!$B$5:$B$199,0),MATCH($D193,'All GHED Countries'!$D$4:$AB$4,0))="","",INDEX('All GHED Countries'!$D$5:$AB$199,MATCH($B193,'All GHED Countries'!$B$5:$B$199,0),MATCH($D193,'All GHED Countries'!$D$4:$AB$4,0))),"")</f>
        <v>0.15417558670000001</v>
      </c>
    </row>
    <row r="194" spans="1:26" x14ac:dyDescent="0.2">
      <c r="A194" s="6" t="s">
        <v>100</v>
      </c>
      <c r="B194" s="6" t="s">
        <v>101</v>
      </c>
      <c r="C194" s="6"/>
      <c r="D194" s="6" t="s">
        <v>18</v>
      </c>
      <c r="E194" s="6" t="s">
        <v>452</v>
      </c>
      <c r="F194" s="7">
        <v>4.8282279051509842E-2</v>
      </c>
      <c r="G194" s="7">
        <v>8.4744777052469369E-2</v>
      </c>
      <c r="H194" s="7">
        <v>0.1286655132808979</v>
      </c>
      <c r="I194" s="7">
        <v>0.12837474375935909</v>
      </c>
      <c r="J194" s="7">
        <v>4.1376502914964447E-2</v>
      </c>
      <c r="K194" s="7">
        <v>1.5120015120015119E-3</v>
      </c>
      <c r="L194" s="7">
        <v>2.4468255237486011E-2</v>
      </c>
      <c r="M194" s="12">
        <f t="shared" si="4"/>
        <v>9.7189712574327972E-2</v>
      </c>
      <c r="N194" s="7">
        <v>1.7315325007632699E-2</v>
      </c>
      <c r="O194" s="7">
        <v>0.1213090443859675</v>
      </c>
      <c r="P194" s="7">
        <v>0.30676184522338368</v>
      </c>
      <c r="Q194" s="7"/>
      <c r="R194" s="13">
        <f t="shared" si="5"/>
        <v>1</v>
      </c>
      <c r="S194" s="7"/>
      <c r="T194" s="7">
        <v>2.3261561723100099E-4</v>
      </c>
      <c r="U194" s="7">
        <v>5.6467441082825698E-2</v>
      </c>
      <c r="V194" s="7">
        <v>9.2755477370861997E-3</v>
      </c>
      <c r="W194" s="7"/>
      <c r="X194" s="7"/>
      <c r="Y194" s="7">
        <v>3.121410813718507E-2</v>
      </c>
      <c r="Z194" s="14">
        <f>IFERROR(IF(INDEX('All GHED Countries'!$D$5:$AB$199,MATCH($B194,'All GHED Countries'!$B$5:$B$199,0),MATCH($D194,'All GHED Countries'!$D$4:$AB$4,0))="","",INDEX('All GHED Countries'!$D$5:$AB$199,MATCH($B194,'All GHED Countries'!$B$5:$B$199,0),MATCH($D194,'All GHED Countries'!$D$4:$AB$4,0))),"")</f>
        <v>0.1367097759</v>
      </c>
    </row>
    <row r="195" spans="1:26" x14ac:dyDescent="0.2">
      <c r="A195" s="6" t="s">
        <v>100</v>
      </c>
      <c r="B195" s="6" t="s">
        <v>101</v>
      </c>
      <c r="C195" s="6"/>
      <c r="D195" s="6" t="s">
        <v>19</v>
      </c>
      <c r="E195" s="6" t="s">
        <v>452</v>
      </c>
      <c r="F195" s="7">
        <v>5.6295040271301389E-2</v>
      </c>
      <c r="G195" s="7">
        <v>0.1040695209834676</v>
      </c>
      <c r="H195" s="7">
        <v>0.1199660873251378</v>
      </c>
      <c r="I195" s="7">
        <v>0.12985728415995479</v>
      </c>
      <c r="J195" s="7">
        <v>5.7580895859827612E-2</v>
      </c>
      <c r="K195" s="7">
        <v>9.0999010880316519E-3</v>
      </c>
      <c r="L195" s="7">
        <v>3.9465875370919883E-2</v>
      </c>
      <c r="M195" s="12">
        <f t="shared" si="4"/>
        <v>0.1010032499646743</v>
      </c>
      <c r="N195" s="7">
        <v>1.9118270453582029E-2</v>
      </c>
      <c r="O195" s="7">
        <v>0.13329094248975551</v>
      </c>
      <c r="P195" s="7">
        <v>0.23026706231454011</v>
      </c>
      <c r="Q195" s="7"/>
      <c r="R195" s="13">
        <f t="shared" si="5"/>
        <v>1.0000141302811927</v>
      </c>
      <c r="S195" s="7"/>
      <c r="T195" s="7">
        <v>3.1086618623710601E-4</v>
      </c>
      <c r="U195" s="7">
        <v>6.2611275964391699E-2</v>
      </c>
      <c r="V195" s="7">
        <v>9.919457397202203E-3</v>
      </c>
      <c r="W195" s="7"/>
      <c r="X195" s="7"/>
      <c r="Y195" s="7">
        <v>2.8161650416843299E-2</v>
      </c>
      <c r="Z195" s="14">
        <f>IFERROR(IF(INDEX('All GHED Countries'!$D$5:$AB$199,MATCH($B195,'All GHED Countries'!$B$5:$B$199,0),MATCH($D195,'All GHED Countries'!$D$4:$AB$4,0))="","",INDEX('All GHED Countries'!$D$5:$AB$199,MATCH($B195,'All GHED Countries'!$B$5:$B$199,0),MATCH($D195,'All GHED Countries'!$D$4:$AB$4,0))),"")</f>
        <v>0.1312652111</v>
      </c>
    </row>
    <row r="196" spans="1:26" x14ac:dyDescent="0.2">
      <c r="A196" s="6" t="s">
        <v>100</v>
      </c>
      <c r="B196" s="6" t="s">
        <v>101</v>
      </c>
      <c r="C196" s="6"/>
      <c r="D196" s="6" t="s">
        <v>20</v>
      </c>
      <c r="E196" s="6" t="s">
        <v>452</v>
      </c>
      <c r="F196" s="7">
        <v>6.6054438231585397E-2</v>
      </c>
      <c r="G196" s="7">
        <v>0.117932519010075</v>
      </c>
      <c r="H196" s="7">
        <v>0.11454445873826601</v>
      </c>
      <c r="I196" s="7">
        <v>0.12808396275681111</v>
      </c>
      <c r="J196" s="7">
        <v>7.3582045827973147E-2</v>
      </c>
      <c r="K196" s="7">
        <v>5.1839869572416599E-3</v>
      </c>
      <c r="L196" s="7">
        <v>2.797060284546115E-2</v>
      </c>
      <c r="M196" s="12">
        <f t="shared" si="4"/>
        <v>0.1109271312300187</v>
      </c>
      <c r="N196" s="7">
        <v>1.7882844442180079E-2</v>
      </c>
      <c r="O196" s="7">
        <v>0.12817312223764821</v>
      </c>
      <c r="P196" s="7">
        <v>0.2096648877227395</v>
      </c>
      <c r="Q196" s="7"/>
      <c r="R196" s="13">
        <f t="shared" si="5"/>
        <v>1</v>
      </c>
      <c r="S196" s="7"/>
      <c r="T196" s="7">
        <v>1.7831896167415999E-4</v>
      </c>
      <c r="U196" s="7">
        <v>5.5737412591866112E-2</v>
      </c>
      <c r="V196" s="7">
        <v>1.718230566417445E-2</v>
      </c>
      <c r="W196" s="7"/>
      <c r="X196" s="7"/>
      <c r="Y196" s="7">
        <v>3.7829094012303971E-2</v>
      </c>
      <c r="Z196" s="14">
        <f>IFERROR(IF(INDEX('All GHED Countries'!$D$5:$AB$199,MATCH($B196,'All GHED Countries'!$B$5:$B$199,0),MATCH($D196,'All GHED Countries'!$D$4:$AB$4,0))="","",INDEX('All GHED Countries'!$D$5:$AB$199,MATCH($B196,'All GHED Countries'!$B$5:$B$199,0),MATCH($D196,'All GHED Countries'!$D$4:$AB$4,0))),"")</f>
        <v>0.1306403065</v>
      </c>
    </row>
    <row r="197" spans="1:26" x14ac:dyDescent="0.2">
      <c r="A197" s="6" t="s">
        <v>100</v>
      </c>
      <c r="B197" s="6" t="s">
        <v>101</v>
      </c>
      <c r="C197" s="6"/>
      <c r="D197" s="6" t="s">
        <v>21</v>
      </c>
      <c r="E197" s="6" t="s">
        <v>452</v>
      </c>
      <c r="F197" s="7">
        <v>5.9075630056228491E-2</v>
      </c>
      <c r="G197" s="7">
        <v>0.1184345914990743</v>
      </c>
      <c r="H197" s="7">
        <v>0.1211798499068814</v>
      </c>
      <c r="I197" s="7">
        <v>0.1351521792560505</v>
      </c>
      <c r="J197" s="7">
        <v>6.631352974707623E-2</v>
      </c>
      <c r="K197" s="7">
        <v>5.6718074651863678E-3</v>
      </c>
      <c r="L197" s="7">
        <v>3.0923005084166771E-2</v>
      </c>
      <c r="M197" s="12">
        <f t="shared" ref="M197:M260" si="6">SUM(S197:Y197)</f>
        <v>0.11344909863583964</v>
      </c>
      <c r="N197" s="7">
        <v>2.011031277039824E-2</v>
      </c>
      <c r="O197" s="7">
        <v>0.13498383793859059</v>
      </c>
      <c r="P197" s="7">
        <v>0.19470615764050739</v>
      </c>
      <c r="Q197" s="7"/>
      <c r="R197" s="13">
        <f t="shared" ref="R197:R260" si="7">SUM(F197:Q197)</f>
        <v>0.99999999999999989</v>
      </c>
      <c r="S197" s="7">
        <v>1.20687775286614E-2</v>
      </c>
      <c r="T197" s="7">
        <v>2.07189313796762E-4</v>
      </c>
      <c r="U197" s="7">
        <v>6.0149647661622563E-2</v>
      </c>
      <c r="V197" s="7">
        <v>1.424426532352741E-2</v>
      </c>
      <c r="W197" s="7">
        <v>8.0285859096245306E-4</v>
      </c>
      <c r="X197" s="7">
        <v>2.5976360217269071E-2</v>
      </c>
      <c r="Y197" s="7"/>
      <c r="Z197" s="14">
        <f>IFERROR(IF(INDEX('All GHED Countries'!$D$5:$AB$199,MATCH($B197,'All GHED Countries'!$B$5:$B$199,0),MATCH($D197,'All GHED Countries'!$D$4:$AB$4,0))="","",INDEX('All GHED Countries'!$D$5:$AB$199,MATCH($B197,'All GHED Countries'!$B$5:$B$199,0),MATCH($D197,'All GHED Countries'!$D$4:$AB$4,0))),"")</f>
        <v>0.1221973801</v>
      </c>
    </row>
    <row r="198" spans="1:26" x14ac:dyDescent="0.2">
      <c r="A198" s="6" t="s">
        <v>100</v>
      </c>
      <c r="B198" s="6" t="s">
        <v>101</v>
      </c>
      <c r="C198" s="6"/>
      <c r="D198" s="6" t="s">
        <v>22</v>
      </c>
      <c r="E198" s="6" t="s">
        <v>452</v>
      </c>
      <c r="F198" s="7">
        <v>6.6365427666532625E-2</v>
      </c>
      <c r="G198" s="7">
        <v>0.1050889311777584</v>
      </c>
      <c r="H198" s="7">
        <v>0.1290179563304098</v>
      </c>
      <c r="I198" s="7">
        <v>0.14030309595287471</v>
      </c>
      <c r="J198" s="7">
        <v>6.3672342953505975E-2</v>
      </c>
      <c r="K198" s="7">
        <v>1.6606894427707551E-3</v>
      </c>
      <c r="L198" s="7">
        <v>2.8143653662713469E-2</v>
      </c>
      <c r="M198" s="12">
        <f t="shared" si="6"/>
        <v>0.11536759235005925</v>
      </c>
      <c r="N198" s="7">
        <v>2.098507568592135E-2</v>
      </c>
      <c r="O198" s="7">
        <v>0.13130769480453311</v>
      </c>
      <c r="P198" s="7">
        <v>0.1980875399729207</v>
      </c>
      <c r="Q198" s="7"/>
      <c r="R198" s="13">
        <f t="shared" si="7"/>
        <v>1</v>
      </c>
      <c r="S198" s="7">
        <v>1.2329361014510151E-2</v>
      </c>
      <c r="T198" s="7">
        <v>2.0129569003281801E-4</v>
      </c>
      <c r="U198" s="7">
        <v>6.7962457347330432E-2</v>
      </c>
      <c r="V198" s="7">
        <v>1.2052579440715021E-2</v>
      </c>
      <c r="W198" s="7">
        <v>6.2904903135255804E-4</v>
      </c>
      <c r="X198" s="7">
        <v>2.2192849826118272E-2</v>
      </c>
      <c r="Y198" s="7"/>
      <c r="Z198" s="14">
        <f>IFERROR(IF(INDEX('All GHED Countries'!$D$5:$AB$199,MATCH($B198,'All GHED Countries'!$B$5:$B$199,0),MATCH($D198,'All GHED Countries'!$D$4:$AB$4,0))="","",INDEX('All GHED Countries'!$D$5:$AB$199,MATCH($B198,'All GHED Countries'!$B$5:$B$199,0),MATCH($D198,'All GHED Countries'!$D$4:$AB$4,0))),"")</f>
        <v>0.1123799038</v>
      </c>
    </row>
    <row r="199" spans="1:26" x14ac:dyDescent="0.2">
      <c r="A199" s="6" t="s">
        <v>100</v>
      </c>
      <c r="B199" s="6" t="s">
        <v>101</v>
      </c>
      <c r="C199" s="6"/>
      <c r="D199" s="6" t="s">
        <v>23</v>
      </c>
      <c r="E199" s="6" t="s">
        <v>452</v>
      </c>
      <c r="F199" s="7">
        <v>6.0160725179323811E-2</v>
      </c>
      <c r="G199" s="7">
        <v>0.1047569338152005</v>
      </c>
      <c r="H199" s="7">
        <v>0.13943120973581241</v>
      </c>
      <c r="I199" s="7">
        <v>0.1460381642160983</v>
      </c>
      <c r="J199" s="7">
        <v>6.0979742832861429E-2</v>
      </c>
      <c r="K199" s="7">
        <v>2.1289075547588059E-3</v>
      </c>
      <c r="L199" s="7">
        <v>3.118727216712756E-2</v>
      </c>
      <c r="M199" s="12">
        <f t="shared" si="6"/>
        <v>9.7525989189554241E-2</v>
      </c>
      <c r="N199" s="7">
        <v>2.1386956354703411E-2</v>
      </c>
      <c r="O199" s="7">
        <v>0.12466344296228429</v>
      </c>
      <c r="P199" s="7">
        <v>0.21174065599227521</v>
      </c>
      <c r="Q199" s="7"/>
      <c r="R199" s="13">
        <f t="shared" si="7"/>
        <v>1</v>
      </c>
      <c r="S199" s="7">
        <v>1.192922336718296E-2</v>
      </c>
      <c r="T199" s="7">
        <v>1.5905631156243899E-4</v>
      </c>
      <c r="U199" s="7">
        <v>5.8814129975434358E-2</v>
      </c>
      <c r="V199" s="7">
        <v>1.2076044577855979E-2</v>
      </c>
      <c r="W199" s="7">
        <v>5.6281464091324698E-4</v>
      </c>
      <c r="X199" s="7">
        <v>1.398472031660526E-2</v>
      </c>
      <c r="Y199" s="7"/>
      <c r="Z199" s="14">
        <f>IFERROR(IF(INDEX('All GHED Countries'!$D$5:$AB$199,MATCH($B199,'All GHED Countries'!$B$5:$B$199,0),MATCH($D199,'All GHED Countries'!$D$4:$AB$4,0))="","",INDEX('All GHED Countries'!$D$5:$AB$199,MATCH($B199,'All GHED Countries'!$B$5:$B$199,0),MATCH($D199,'All GHED Countries'!$D$4:$AB$4,0))),"")</f>
        <v>0.110992403</v>
      </c>
    </row>
    <row r="200" spans="1:26" x14ac:dyDescent="0.2">
      <c r="A200" s="6" t="s">
        <v>100</v>
      </c>
      <c r="B200" s="6" t="s">
        <v>101</v>
      </c>
      <c r="C200" s="6"/>
      <c r="D200" s="6" t="s">
        <v>24</v>
      </c>
      <c r="E200" s="6" t="s">
        <v>452</v>
      </c>
      <c r="F200" s="7">
        <v>5.0450063884629109E-2</v>
      </c>
      <c r="G200" s="7">
        <v>0.1172288194965662</v>
      </c>
      <c r="H200" s="7">
        <v>0.1410994692895044</v>
      </c>
      <c r="I200" s="7">
        <v>0.14994736784356169</v>
      </c>
      <c r="J200" s="7">
        <v>4.8009771441738222E-2</v>
      </c>
      <c r="K200" s="7">
        <v>1.8909756804185731E-3</v>
      </c>
      <c r="L200" s="7">
        <v>2.879652471353469E-2</v>
      </c>
      <c r="M200" s="12">
        <f t="shared" si="6"/>
        <v>0.11846612457140804</v>
      </c>
      <c r="N200" s="7">
        <v>2.3123597672278971E-2</v>
      </c>
      <c r="O200" s="7">
        <v>0.1212558973344947</v>
      </c>
      <c r="P200" s="7">
        <v>0.1997313880718655</v>
      </c>
      <c r="Q200" s="7"/>
      <c r="R200" s="13">
        <f t="shared" si="7"/>
        <v>1.0000000000000002</v>
      </c>
      <c r="S200" s="7">
        <v>8.0775010546274856E-3</v>
      </c>
      <c r="T200" s="7">
        <v>3.6185337094429398E-4</v>
      </c>
      <c r="U200" s="7">
        <v>5.5947200223742097E-2</v>
      </c>
      <c r="V200" s="7">
        <v>1.1672689385299841E-2</v>
      </c>
      <c r="W200" s="7">
        <v>3.03489924017795E-4</v>
      </c>
      <c r="X200" s="7">
        <v>4.2103390612776508E-2</v>
      </c>
      <c r="Y200" s="7"/>
      <c r="Z200" s="14">
        <f>IFERROR(IF(INDEX('All GHED Countries'!$D$5:$AB$199,MATCH($B200,'All GHED Countries'!$B$5:$B$199,0),MATCH($D200,'All GHED Countries'!$D$4:$AB$4,0))="","",INDEX('All GHED Countries'!$D$5:$AB$199,MATCH($B200,'All GHED Countries'!$B$5:$B$199,0),MATCH($D200,'All GHED Countries'!$D$4:$AB$4,0))),"")</f>
        <v>9.9767198599999996E-2</v>
      </c>
    </row>
    <row r="201" spans="1:26" x14ac:dyDescent="0.2">
      <c r="A201" s="6" t="s">
        <v>100</v>
      </c>
      <c r="B201" s="6" t="s">
        <v>101</v>
      </c>
      <c r="C201" s="6"/>
      <c r="D201" s="6" t="s">
        <v>25</v>
      </c>
      <c r="E201" s="6" t="s">
        <v>452</v>
      </c>
      <c r="F201" s="7">
        <v>4.8986678165354201E-2</v>
      </c>
      <c r="G201" s="7">
        <v>0.12634182874520569</v>
      </c>
      <c r="H201" s="7">
        <v>0.13932324172207969</v>
      </c>
      <c r="I201" s="7">
        <v>0.15551596577627491</v>
      </c>
      <c r="J201" s="7">
        <v>5.3990876699271502E-2</v>
      </c>
      <c r="K201" s="7">
        <v>3.2226584662869069E-3</v>
      </c>
      <c r="L201" s="7">
        <v>1.7940221954928171E-2</v>
      </c>
      <c r="M201" s="12">
        <f t="shared" si="6"/>
        <v>0.11413203821800605</v>
      </c>
      <c r="N201" s="7">
        <v>2.1616775979847042E-2</v>
      </c>
      <c r="O201" s="7">
        <v>0.1231532124458162</v>
      </c>
      <c r="P201" s="7">
        <v>0.1957765018269296</v>
      </c>
      <c r="Q201" s="7"/>
      <c r="R201" s="13">
        <f t="shared" si="7"/>
        <v>0.99999999999999989</v>
      </c>
      <c r="S201" s="7">
        <v>7.8070036084696912E-3</v>
      </c>
      <c r="T201" s="7">
        <v>1.4411183986564691E-3</v>
      </c>
      <c r="U201" s="7">
        <v>5.7327009055216392E-2</v>
      </c>
      <c r="V201" s="7">
        <v>1.226652747202869E-2</v>
      </c>
      <c r="W201" s="7">
        <v>3.6311644690556699E-4</v>
      </c>
      <c r="X201" s="7">
        <v>3.4927263236729227E-2</v>
      </c>
      <c r="Y201" s="7"/>
      <c r="Z201" s="14">
        <f>IFERROR(IF(INDEX('All GHED Countries'!$D$5:$AB$199,MATCH($B201,'All GHED Countries'!$B$5:$B$199,0),MATCH($D201,'All GHED Countries'!$D$4:$AB$4,0))="","",INDEX('All GHED Countries'!$D$5:$AB$199,MATCH($B201,'All GHED Countries'!$B$5:$B$199,0),MATCH($D201,'All GHED Countries'!$D$4:$AB$4,0))),"")</f>
        <v>0.1008031368</v>
      </c>
    </row>
    <row r="202" spans="1:26" x14ac:dyDescent="0.2">
      <c r="A202" s="6" t="s">
        <v>100</v>
      </c>
      <c r="B202" s="6" t="s">
        <v>101</v>
      </c>
      <c r="C202" s="6"/>
      <c r="D202" s="6" t="s">
        <v>26</v>
      </c>
      <c r="E202" s="6" t="s">
        <v>452</v>
      </c>
      <c r="F202" s="7">
        <v>5.6398119700802309E-2</v>
      </c>
      <c r="G202" s="7">
        <v>0.13497551919924439</v>
      </c>
      <c r="H202" s="7">
        <v>0.1286246241030039</v>
      </c>
      <c r="I202" s="7">
        <v>0.1553092397381477</v>
      </c>
      <c r="J202" s="7">
        <v>4.7409160487661889E-2</v>
      </c>
      <c r="K202" s="7">
        <v>5.6452400855470995E-4</v>
      </c>
      <c r="L202" s="7">
        <v>2.0344576769837051E-2</v>
      </c>
      <c r="M202" s="12">
        <f t="shared" si="6"/>
        <v>9.3917253807823009E-2</v>
      </c>
      <c r="N202" s="7">
        <v>2.0246870691433352E-2</v>
      </c>
      <c r="O202" s="7">
        <v>0.1237067514900177</v>
      </c>
      <c r="P202" s="7">
        <v>0.21850336000347401</v>
      </c>
      <c r="Q202" s="7"/>
      <c r="R202" s="13">
        <f t="shared" si="7"/>
        <v>1</v>
      </c>
      <c r="S202" s="7">
        <v>0</v>
      </c>
      <c r="T202" s="7">
        <v>2.2798084960863291E-3</v>
      </c>
      <c r="U202" s="7">
        <v>8.9618186358060209E-2</v>
      </c>
      <c r="V202" s="7">
        <v>1.1399042480431641E-3</v>
      </c>
      <c r="W202" s="7">
        <v>8.6849847469955006E-5</v>
      </c>
      <c r="X202" s="7">
        <v>7.9250485816334201E-4</v>
      </c>
      <c r="Y202" s="7"/>
      <c r="Z202" s="14">
        <f>IFERROR(IF(INDEX('All GHED Countries'!$D$5:$AB$199,MATCH($B202,'All GHED Countries'!$B$5:$B$199,0),MATCH($D202,'All GHED Countries'!$D$4:$AB$4,0))="","",INDEX('All GHED Countries'!$D$5:$AB$199,MATCH($B202,'All GHED Countries'!$B$5:$B$199,0),MATCH($D202,'All GHED Countries'!$D$4:$AB$4,0))),"")</f>
        <v>0.1076589775</v>
      </c>
    </row>
    <row r="203" spans="1:26" x14ac:dyDescent="0.2">
      <c r="A203" s="6" t="s">
        <v>100</v>
      </c>
      <c r="B203" s="6" t="s">
        <v>101</v>
      </c>
      <c r="C203" s="6"/>
      <c r="D203" s="6" t="s">
        <v>27</v>
      </c>
      <c r="E203" s="6" t="s">
        <v>452</v>
      </c>
      <c r="F203" s="7">
        <v>6.5206864380149304E-2</v>
      </c>
      <c r="G203" s="7">
        <v>0.14235131372265411</v>
      </c>
      <c r="H203" s="7">
        <v>0.12759593531774421</v>
      </c>
      <c r="I203" s="7">
        <v>0.15243877080912061</v>
      </c>
      <c r="J203" s="7">
        <v>6.0598788206814268E-2</v>
      </c>
      <c r="K203" s="7">
        <v>1.4208657502988711E-3</v>
      </c>
      <c r="L203" s="7">
        <v>1.9739768965281498E-2</v>
      </c>
      <c r="M203" s="12">
        <f t="shared" si="6"/>
        <v>9.9307439522423574E-2</v>
      </c>
      <c r="N203" s="7">
        <v>1.9168704275519741E-2</v>
      </c>
      <c r="O203" s="7">
        <v>0.1208821214961935</v>
      </c>
      <c r="P203" s="7">
        <v>0.1912894275538003</v>
      </c>
      <c r="Q203" s="7"/>
      <c r="R203" s="13">
        <f t="shared" si="7"/>
        <v>1</v>
      </c>
      <c r="S203" s="7">
        <v>9.574208892826272E-3</v>
      </c>
      <c r="T203" s="7">
        <v>1.063012069041417E-3</v>
      </c>
      <c r="U203" s="7">
        <v>5.8338873235607908E-2</v>
      </c>
      <c r="V203" s="7">
        <v>1.24254750436616E-2</v>
      </c>
      <c r="W203" s="7">
        <v>3.4892762571588402E-4</v>
      </c>
      <c r="X203" s="7">
        <v>1.75569426555705E-2</v>
      </c>
      <c r="Y203" s="7"/>
      <c r="Z203" s="14">
        <f>IFERROR(IF(INDEX('All GHED Countries'!$D$5:$AB$199,MATCH($B203,'All GHED Countries'!$B$5:$B$199,0),MATCH($D203,'All GHED Countries'!$D$4:$AB$4,0))="","",INDEX('All GHED Countries'!$D$5:$AB$199,MATCH($B203,'All GHED Countries'!$B$5:$B$199,0),MATCH($D203,'All GHED Countries'!$D$4:$AB$4,0))),"")</f>
        <v>0.10347292900000001</v>
      </c>
    </row>
    <row r="204" spans="1:26" x14ac:dyDescent="0.2">
      <c r="A204" s="6" t="s">
        <v>100</v>
      </c>
      <c r="B204" s="6" t="s">
        <v>101</v>
      </c>
      <c r="C204" s="6"/>
      <c r="D204" s="6" t="s">
        <v>28</v>
      </c>
      <c r="E204" s="6" t="s">
        <v>452</v>
      </c>
      <c r="F204" s="7">
        <v>6.0144212349675312E-2</v>
      </c>
      <c r="G204" s="7">
        <v>0.1364065003520753</v>
      </c>
      <c r="H204" s="7">
        <v>0.1340370381340103</v>
      </c>
      <c r="I204" s="7">
        <v>0.14413591541019879</v>
      </c>
      <c r="J204" s="7">
        <v>7.6510699363971368E-2</v>
      </c>
      <c r="K204" s="7">
        <v>5.8281127137890202E-4</v>
      </c>
      <c r="L204" s="7">
        <v>2.1755102703766589E-2</v>
      </c>
      <c r="M204" s="12">
        <f t="shared" si="6"/>
        <v>9.1902649498256828E-2</v>
      </c>
      <c r="N204" s="7">
        <v>1.9528954732761922E-2</v>
      </c>
      <c r="O204" s="7">
        <v>0.1172406083785331</v>
      </c>
      <c r="P204" s="7">
        <v>0.1977555078053716</v>
      </c>
      <c r="Q204" s="7"/>
      <c r="R204" s="13">
        <f t="shared" si="7"/>
        <v>1.0000000000000002</v>
      </c>
      <c r="S204" s="7">
        <v>0</v>
      </c>
      <c r="T204" s="7">
        <v>2.9904906219933871E-3</v>
      </c>
      <c r="U204" s="7">
        <v>8.1345166631475063E-2</v>
      </c>
      <c r="V204" s="7">
        <v>1.891748061197094E-3</v>
      </c>
      <c r="W204" s="7">
        <v>7.6434265098872006E-5</v>
      </c>
      <c r="X204" s="7">
        <v>5.5988099184924112E-3</v>
      </c>
      <c r="Y204" s="7"/>
      <c r="Z204" s="14">
        <f>IFERROR(IF(INDEX('All GHED Countries'!$D$5:$AB$199,MATCH($B204,'All GHED Countries'!$B$5:$B$199,0),MATCH($D204,'All GHED Countries'!$D$4:$AB$4,0))="","",INDEX('All GHED Countries'!$D$5:$AB$199,MATCH($B204,'All GHED Countries'!$B$5:$B$199,0),MATCH($D204,'All GHED Countries'!$D$4:$AB$4,0))),"")</f>
        <v>0.10466299060000001</v>
      </c>
    </row>
    <row r="205" spans="1:26" x14ac:dyDescent="0.2">
      <c r="A205" s="6" t="s">
        <v>100</v>
      </c>
      <c r="B205" s="6" t="s">
        <v>101</v>
      </c>
      <c r="C205" s="6"/>
      <c r="D205" s="6" t="s">
        <v>29</v>
      </c>
      <c r="E205" s="6" t="s">
        <v>452</v>
      </c>
      <c r="F205" s="7">
        <v>5.3780443475099887E-2</v>
      </c>
      <c r="G205" s="7">
        <v>0.1547437295528899</v>
      </c>
      <c r="H205" s="7">
        <v>0.13545983278807711</v>
      </c>
      <c r="I205" s="7">
        <v>0.14482915303525989</v>
      </c>
      <c r="J205" s="7">
        <v>4.9645583424209383E-2</v>
      </c>
      <c r="K205" s="7">
        <v>6.8157033805888692E-4</v>
      </c>
      <c r="L205" s="7">
        <v>2.9352962559069429E-2</v>
      </c>
      <c r="M205" s="12">
        <f t="shared" si="6"/>
        <v>9.6519447473645978E-2</v>
      </c>
      <c r="N205" s="7">
        <v>2.029262086513995E-2</v>
      </c>
      <c r="O205" s="7">
        <v>0.1184387495456198</v>
      </c>
      <c r="P205" s="7">
        <v>0.1962559069429298</v>
      </c>
      <c r="Q205" s="7"/>
      <c r="R205" s="13">
        <f t="shared" si="7"/>
        <v>1</v>
      </c>
      <c r="S205" s="7">
        <v>0</v>
      </c>
      <c r="T205" s="7">
        <v>3.0806979280261718E-3</v>
      </c>
      <c r="U205" s="7">
        <v>9.0866957470010931E-2</v>
      </c>
      <c r="V205" s="7">
        <v>1.2268266085059981E-3</v>
      </c>
      <c r="W205" s="7">
        <v>9.0876045074518E-5</v>
      </c>
      <c r="X205" s="7">
        <v>1.2540894220283529E-3</v>
      </c>
      <c r="Y205" s="7"/>
      <c r="Z205" s="14">
        <f>IFERROR(IF(INDEX('All GHED Countries'!$D$5:$AB$199,MATCH($B205,'All GHED Countries'!$B$5:$B$199,0),MATCH($D205,'All GHED Countries'!$D$4:$AB$4,0))="","",INDEX('All GHED Countries'!$D$5:$AB$199,MATCH($B205,'All GHED Countries'!$B$5:$B$199,0),MATCH($D205,'All GHED Countries'!$D$4:$AB$4,0))),"")</f>
        <v>0.1050131416</v>
      </c>
    </row>
    <row r="206" spans="1:26" x14ac:dyDescent="0.2">
      <c r="A206" s="6" t="s">
        <v>102</v>
      </c>
      <c r="B206" s="6" t="s">
        <v>103</v>
      </c>
      <c r="C206" s="6" t="s">
        <v>49</v>
      </c>
      <c r="D206" s="6" t="s">
        <v>11</v>
      </c>
      <c r="E206" s="6" t="s">
        <v>452</v>
      </c>
      <c r="F206" s="7">
        <v>0.15963541151341051</v>
      </c>
      <c r="G206" s="7">
        <v>9.5934739191541635E-2</v>
      </c>
      <c r="H206" s="7">
        <v>8.9749288805898234E-2</v>
      </c>
      <c r="I206" s="7">
        <v>9.07402858572708E-2</v>
      </c>
      <c r="J206" s="7">
        <v>0.14772029596327749</v>
      </c>
      <c r="K206" s="7">
        <v>2.4672965898250971E-3</v>
      </c>
      <c r="L206" s="7">
        <v>2.637975842050478E-2</v>
      </c>
      <c r="M206" s="12">
        <f t="shared" si="6"/>
        <v>6.4327983721902821E-2</v>
      </c>
      <c r="N206" s="7">
        <v>7.6608608605507611E-3</v>
      </c>
      <c r="O206" s="7">
        <v>0.29676325307634288</v>
      </c>
      <c r="P206" s="7">
        <v>4.989756958880142E-2</v>
      </c>
      <c r="Q206" s="7"/>
      <c r="R206" s="13">
        <f t="shared" si="7"/>
        <v>1.0312767435893264</v>
      </c>
      <c r="S206" s="7"/>
      <c r="T206" s="7"/>
      <c r="U206" s="7"/>
      <c r="V206" s="7">
        <v>5.6151906257792226E-3</v>
      </c>
      <c r="W206" s="7"/>
      <c r="X206" s="7"/>
      <c r="Y206" s="7">
        <v>5.8712793096123601E-2</v>
      </c>
      <c r="Z206" s="14">
        <f>IFERROR(IF(INDEX('All GHED Countries'!$D$5:$AB$199,MATCH($B206,'All GHED Countries'!$B$5:$B$199,0),MATCH($D206,'All GHED Countries'!$D$4:$AB$4,0))="","",INDEX('All GHED Countries'!$D$5:$AB$199,MATCH($B206,'All GHED Countries'!$B$5:$B$199,0),MATCH($D206,'All GHED Countries'!$D$4:$AB$4,0))),"")</f>
        <v>6.8923878699999996E-2</v>
      </c>
    </row>
    <row r="207" spans="1:26" x14ac:dyDescent="0.2">
      <c r="A207" s="6" t="s">
        <v>102</v>
      </c>
      <c r="B207" s="6" t="s">
        <v>103</v>
      </c>
      <c r="C207" s="6" t="s">
        <v>49</v>
      </c>
      <c r="D207" s="6" t="s">
        <v>12</v>
      </c>
      <c r="E207" s="6" t="s">
        <v>452</v>
      </c>
      <c r="F207" s="7">
        <v>0.15230639051242681</v>
      </c>
      <c r="G207" s="7">
        <v>8.8438139065244711E-2</v>
      </c>
      <c r="H207" s="7">
        <v>7.200479682289046E-2</v>
      </c>
      <c r="I207" s="7">
        <v>0.1119188575987579</v>
      </c>
      <c r="J207" s="7">
        <v>0.1391491101534939</v>
      </c>
      <c r="K207" s="7">
        <v>1.058492984709896E-2</v>
      </c>
      <c r="L207" s="7">
        <v>1.7174013881655192E-2</v>
      </c>
      <c r="M207" s="12">
        <f t="shared" si="6"/>
        <v>6.4568170478148154E-2</v>
      </c>
      <c r="N207" s="7">
        <v>8.2892579014580674E-3</v>
      </c>
      <c r="O207" s="7">
        <v>0.27000401374592081</v>
      </c>
      <c r="P207" s="7">
        <v>6.9477971862219878E-2</v>
      </c>
      <c r="Q207" s="7"/>
      <c r="R207" s="13">
        <f t="shared" si="7"/>
        <v>1.0039156518693146</v>
      </c>
      <c r="S207" s="7"/>
      <c r="T207" s="7">
        <v>1.166154448588824E-2</v>
      </c>
      <c r="U207" s="7">
        <v>3.9999312684585349E-2</v>
      </c>
      <c r="V207" s="7">
        <v>6.8703703455107309E-3</v>
      </c>
      <c r="W207" s="7"/>
      <c r="X207" s="7"/>
      <c r="Y207" s="7">
        <v>6.0369429621638304E-3</v>
      </c>
      <c r="Z207" s="14">
        <f>IFERROR(IF(INDEX('All GHED Countries'!$D$5:$AB$199,MATCH($B207,'All GHED Countries'!$B$5:$B$199,0),MATCH($D207,'All GHED Countries'!$D$4:$AB$4,0))="","",INDEX('All GHED Countries'!$D$5:$AB$199,MATCH($B207,'All GHED Countries'!$B$5:$B$199,0),MATCH($D207,'All GHED Countries'!$D$4:$AB$4,0))),"")</f>
        <v>6.8128094699999989E-2</v>
      </c>
    </row>
    <row r="208" spans="1:26" x14ac:dyDescent="0.2">
      <c r="A208" s="6" t="s">
        <v>102</v>
      </c>
      <c r="B208" s="6" t="s">
        <v>103</v>
      </c>
      <c r="C208" s="6" t="s">
        <v>49</v>
      </c>
      <c r="D208" s="6" t="s">
        <v>13</v>
      </c>
      <c r="E208" s="6" t="s">
        <v>452</v>
      </c>
      <c r="F208" s="7">
        <v>0.14265866089965751</v>
      </c>
      <c r="G208" s="7">
        <v>9.4271608031800472E-2</v>
      </c>
      <c r="H208" s="7">
        <v>6.0731674046497541E-2</v>
      </c>
      <c r="I208" s="7">
        <v>0.10082874972267281</v>
      </c>
      <c r="J208" s="7">
        <v>0.172651314465082</v>
      </c>
      <c r="K208" s="7">
        <v>1.2195549854263819E-2</v>
      </c>
      <c r="L208" s="7">
        <v>2.006636782496421E-2</v>
      </c>
      <c r="M208" s="12">
        <f t="shared" si="6"/>
        <v>6.6520771892868827E-2</v>
      </c>
      <c r="N208" s="7">
        <v>9.8788164487211508E-3</v>
      </c>
      <c r="O208" s="7">
        <v>0.26502975707158161</v>
      </c>
      <c r="P208" s="7">
        <v>6.5372971986025125E-2</v>
      </c>
      <c r="Q208" s="7"/>
      <c r="R208" s="13">
        <f t="shared" si="7"/>
        <v>1.0102062422441351</v>
      </c>
      <c r="S208" s="7"/>
      <c r="T208" s="7">
        <v>1.0974685594742189E-2</v>
      </c>
      <c r="U208" s="7">
        <v>4.1570877505889302E-2</v>
      </c>
      <c r="V208" s="7">
        <v>8.8887358531165809E-3</v>
      </c>
      <c r="W208" s="7"/>
      <c r="X208" s="7"/>
      <c r="Y208" s="7">
        <v>5.0864729391207498E-3</v>
      </c>
      <c r="Z208" s="14">
        <f>IFERROR(IF(INDEX('All GHED Countries'!$D$5:$AB$199,MATCH($B208,'All GHED Countries'!$B$5:$B$199,0),MATCH($D208,'All GHED Countries'!$D$4:$AB$4,0))="","",INDEX('All GHED Countries'!$D$5:$AB$199,MATCH($B208,'All GHED Countries'!$B$5:$B$199,0),MATCH($D208,'All GHED Countries'!$D$4:$AB$4,0))),"")</f>
        <v>7.0393862700000018E-2</v>
      </c>
    </row>
    <row r="209" spans="1:26" x14ac:dyDescent="0.2">
      <c r="A209" s="6" t="s">
        <v>102</v>
      </c>
      <c r="B209" s="6" t="s">
        <v>103</v>
      </c>
      <c r="C209" s="6" t="s">
        <v>49</v>
      </c>
      <c r="D209" s="6" t="s">
        <v>15</v>
      </c>
      <c r="E209" s="6" t="s">
        <v>452</v>
      </c>
      <c r="F209" s="7">
        <v>0.14286986137959529</v>
      </c>
      <c r="G209" s="7">
        <v>8.2918709199988519E-2</v>
      </c>
      <c r="H209" s="7">
        <v>6.7434237405836692E-2</v>
      </c>
      <c r="I209" s="7">
        <v>9.8345970776255912E-2</v>
      </c>
      <c r="J209" s="7">
        <v>0.21423264773241771</v>
      </c>
      <c r="K209" s="7">
        <v>9.1433020031606964E-3</v>
      </c>
      <c r="L209" s="7">
        <v>3.0822095982110179E-2</v>
      </c>
      <c r="M209" s="12">
        <f t="shared" si="6"/>
        <v>5.2694121745165308E-2</v>
      </c>
      <c r="N209" s="7">
        <v>8.3419268168176772E-3</v>
      </c>
      <c r="O209" s="7">
        <v>0.23650764962644741</v>
      </c>
      <c r="P209" s="7">
        <v>7.1604225616975464E-2</v>
      </c>
      <c r="Q209" s="7"/>
      <c r="R209" s="13">
        <f t="shared" si="7"/>
        <v>1.0149147482847709</v>
      </c>
      <c r="S209" s="7"/>
      <c r="T209" s="7">
        <v>3.691631414715432E-3</v>
      </c>
      <c r="U209" s="7">
        <v>3.6228142632185892E-2</v>
      </c>
      <c r="V209" s="7">
        <v>8.4247961295953102E-3</v>
      </c>
      <c r="W209" s="7"/>
      <c r="X209" s="7"/>
      <c r="Y209" s="7">
        <v>4.3495515686686748E-3</v>
      </c>
      <c r="Z209" s="14">
        <f>IFERROR(IF(INDEX('All GHED Countries'!$D$5:$AB$199,MATCH($B209,'All GHED Countries'!$B$5:$B$199,0),MATCH($D209,'All GHED Countries'!$D$4:$AB$4,0))="","",INDEX('All GHED Countries'!$D$5:$AB$199,MATCH($B209,'All GHED Countries'!$B$5:$B$199,0),MATCH($D209,'All GHED Countries'!$D$4:$AB$4,0))),"")</f>
        <v>7.2007761000000003E-2</v>
      </c>
    </row>
    <row r="210" spans="1:26" x14ac:dyDescent="0.2">
      <c r="A210" s="6" t="s">
        <v>102</v>
      </c>
      <c r="B210" s="6" t="s">
        <v>103</v>
      </c>
      <c r="C210" s="6" t="s">
        <v>49</v>
      </c>
      <c r="D210" s="6" t="s">
        <v>16</v>
      </c>
      <c r="E210" s="6" t="s">
        <v>452</v>
      </c>
      <c r="F210" s="7">
        <v>0.16842810947741599</v>
      </c>
      <c r="G210" s="7">
        <v>8.0992345926330686E-2</v>
      </c>
      <c r="H210" s="7">
        <v>7.7305648195777593E-2</v>
      </c>
      <c r="I210" s="7">
        <v>8.6486590688372E-2</v>
      </c>
      <c r="J210" s="7">
        <v>0.22084797551611471</v>
      </c>
      <c r="K210" s="7">
        <v>8.125736864515171E-3</v>
      </c>
      <c r="L210" s="7">
        <v>2.794233167018044E-2</v>
      </c>
      <c r="M210" s="12">
        <f t="shared" si="6"/>
        <v>5.4119200856583526E-2</v>
      </c>
      <c r="N210" s="7">
        <v>4.7084219239183879E-3</v>
      </c>
      <c r="O210" s="7">
        <v>0.22989245891871271</v>
      </c>
      <c r="P210" s="7">
        <v>4.6965803535201682E-2</v>
      </c>
      <c r="Q210" s="7"/>
      <c r="R210" s="13">
        <f t="shared" si="7"/>
        <v>1.0058146235731229</v>
      </c>
      <c r="S210" s="7"/>
      <c r="T210" s="7">
        <v>1.1586774843840471E-2</v>
      </c>
      <c r="U210" s="7">
        <v>3.4975535061378252E-2</v>
      </c>
      <c r="V210" s="7">
        <v>4.8187379918626849E-3</v>
      </c>
      <c r="W210" s="7"/>
      <c r="X210" s="7"/>
      <c r="Y210" s="7">
        <v>2.7381529595021182E-3</v>
      </c>
      <c r="Z210" s="14">
        <f>IFERROR(IF(INDEX('All GHED Countries'!$D$5:$AB$199,MATCH($B210,'All GHED Countries'!$B$5:$B$199,0),MATCH($D210,'All GHED Countries'!$D$4:$AB$4,0))="","",INDEX('All GHED Countries'!$D$5:$AB$199,MATCH($B210,'All GHED Countries'!$B$5:$B$199,0),MATCH($D210,'All GHED Countries'!$D$4:$AB$4,0))),"")</f>
        <v>7.2441263200000008E-2</v>
      </c>
    </row>
    <row r="211" spans="1:26" x14ac:dyDescent="0.2">
      <c r="A211" s="6" t="s">
        <v>102</v>
      </c>
      <c r="B211" s="6" t="s">
        <v>103</v>
      </c>
      <c r="C211" s="6" t="s">
        <v>49</v>
      </c>
      <c r="D211" s="6" t="s">
        <v>17</v>
      </c>
      <c r="E211" s="6" t="s">
        <v>452</v>
      </c>
      <c r="F211" s="7">
        <v>0.15733395699210981</v>
      </c>
      <c r="G211" s="7">
        <v>8.8394308910527228E-2</v>
      </c>
      <c r="H211" s="7">
        <v>6.9204279695679549E-2</v>
      </c>
      <c r="I211" s="7">
        <v>9.4904591397703172E-2</v>
      </c>
      <c r="J211" s="7">
        <v>0.23033940932370539</v>
      </c>
      <c r="K211" s="7">
        <v>7.3219048193283679E-3</v>
      </c>
      <c r="L211" s="7">
        <v>3.1387162177563002E-2</v>
      </c>
      <c r="M211" s="12">
        <f t="shared" si="6"/>
        <v>5.9511642095732828E-2</v>
      </c>
      <c r="N211" s="7">
        <v>5.0718963475490228E-3</v>
      </c>
      <c r="O211" s="7">
        <v>0.22790628510891561</v>
      </c>
      <c r="P211" s="7">
        <v>3.6855639756207349E-2</v>
      </c>
      <c r="Q211" s="7"/>
      <c r="R211" s="13">
        <f t="shared" si="7"/>
        <v>1.0082310766250213</v>
      </c>
      <c r="S211" s="7"/>
      <c r="T211" s="7">
        <v>1.570891705812464E-2</v>
      </c>
      <c r="U211" s="7">
        <v>2.6361319083947121E-2</v>
      </c>
      <c r="V211" s="7">
        <v>6.9689997757341618E-3</v>
      </c>
      <c r="W211" s="7"/>
      <c r="X211" s="7"/>
      <c r="Y211" s="7">
        <v>1.0472406177926909E-2</v>
      </c>
      <c r="Z211" s="14">
        <f>IFERROR(IF(INDEX('All GHED Countries'!$D$5:$AB$199,MATCH($B211,'All GHED Countries'!$B$5:$B$199,0),MATCH($D211,'All GHED Countries'!$D$4:$AB$4,0))="","",INDEX('All GHED Countries'!$D$5:$AB$199,MATCH($B211,'All GHED Countries'!$B$5:$B$199,0),MATCH($D211,'All GHED Countries'!$D$4:$AB$4,0))),"")</f>
        <v>7.9810910200000015E-2</v>
      </c>
    </row>
    <row r="212" spans="1:26" x14ac:dyDescent="0.2">
      <c r="A212" s="6" t="s">
        <v>102</v>
      </c>
      <c r="B212" s="6" t="s">
        <v>103</v>
      </c>
      <c r="C212" s="6" t="s">
        <v>49</v>
      </c>
      <c r="D212" s="6" t="s">
        <v>23</v>
      </c>
      <c r="E212" s="6" t="s">
        <v>452</v>
      </c>
      <c r="F212" s="7">
        <v>0.23276164170205171</v>
      </c>
      <c r="G212" s="7">
        <v>0.1973959565108758</v>
      </c>
      <c r="H212" s="7">
        <v>5.6595471966310998E-2</v>
      </c>
      <c r="I212" s="7">
        <v>5.9672654015605529E-2</v>
      </c>
      <c r="J212" s="7">
        <v>0.21322819653208289</v>
      </c>
      <c r="K212" s="7">
        <v>4.9513360605871089E-3</v>
      </c>
      <c r="L212" s="7">
        <v>2.7398773053110208E-2</v>
      </c>
      <c r="M212" s="12">
        <f t="shared" si="6"/>
        <v>2.4794596962509567E-2</v>
      </c>
      <c r="N212" s="7">
        <v>3.9101436135686521E-3</v>
      </c>
      <c r="O212" s="7">
        <v>0.14256573359324079</v>
      </c>
      <c r="P212" s="7">
        <v>3.6725495990056652E-2</v>
      </c>
      <c r="Q212" s="7"/>
      <c r="R212" s="13">
        <f t="shared" si="7"/>
        <v>0.99999999999999989</v>
      </c>
      <c r="S212" s="7">
        <v>0</v>
      </c>
      <c r="T212" s="7">
        <v>5.0933535552963446E-3</v>
      </c>
      <c r="U212" s="7">
        <v>8.2718903902182297E-3</v>
      </c>
      <c r="V212" s="7">
        <v>2.9169561113988759E-3</v>
      </c>
      <c r="W212" s="7">
        <v>2.1066426242768079E-3</v>
      </c>
      <c r="X212" s="7">
        <v>6.4057542813193077E-3</v>
      </c>
      <c r="Y212" s="7"/>
      <c r="Z212" s="14">
        <f>IFERROR(IF(INDEX('All GHED Countries'!$D$5:$AB$199,MATCH($B212,'All GHED Countries'!$B$5:$B$199,0),MATCH($D212,'All GHED Countries'!$D$4:$AB$4,0))="","",INDEX('All GHED Countries'!$D$5:$AB$199,MATCH($B212,'All GHED Countries'!$B$5:$B$199,0),MATCH($D212,'All GHED Countries'!$D$4:$AB$4,0))),"")</f>
        <v>6.7924046500000002E-2</v>
      </c>
    </row>
    <row r="213" spans="1:26" x14ac:dyDescent="0.2">
      <c r="A213" s="6" t="s">
        <v>102</v>
      </c>
      <c r="B213" s="6" t="s">
        <v>103</v>
      </c>
      <c r="C213" s="6" t="s">
        <v>49</v>
      </c>
      <c r="D213" s="6" t="s">
        <v>24</v>
      </c>
      <c r="E213" s="6" t="s">
        <v>452</v>
      </c>
      <c r="F213" s="7">
        <v>0.25029321035064173</v>
      </c>
      <c r="G213" s="7">
        <v>0.14701178443572591</v>
      </c>
      <c r="H213" s="7">
        <v>6.608211335539263E-2</v>
      </c>
      <c r="I213" s="7">
        <v>6.7788516274303934E-2</v>
      </c>
      <c r="J213" s="7">
        <v>0.172391873600587</v>
      </c>
      <c r="K213" s="7">
        <v>5.1201123325448116E-3</v>
      </c>
      <c r="L213" s="7">
        <v>2.8442759375954401E-2</v>
      </c>
      <c r="M213" s="12">
        <f t="shared" si="6"/>
        <v>2.7934497982315214E-2</v>
      </c>
      <c r="N213" s="7">
        <v>3.7950184058392678E-3</v>
      </c>
      <c r="O213" s="7">
        <v>0.18634218054528989</v>
      </c>
      <c r="P213" s="7">
        <v>4.4793415462350709E-2</v>
      </c>
      <c r="Q213" s="7"/>
      <c r="R213" s="13">
        <f t="shared" si="7"/>
        <v>0.99999548212094547</v>
      </c>
      <c r="S213" s="7"/>
      <c r="T213" s="7">
        <v>4.1442504567575722E-3</v>
      </c>
      <c r="U213" s="7">
        <v>6.3751791339045141E-3</v>
      </c>
      <c r="V213" s="7">
        <v>1.3916422851793691E-2</v>
      </c>
      <c r="W213" s="7"/>
      <c r="X213" s="7">
        <v>3.49864553985944E-3</v>
      </c>
      <c r="Y213" s="7"/>
      <c r="Z213" s="14">
        <f>IFERROR(IF(INDEX('All GHED Countries'!$D$5:$AB$199,MATCH($B213,'All GHED Countries'!$B$5:$B$199,0),MATCH($D213,'All GHED Countries'!$D$4:$AB$4,0))="","",INDEX('All GHED Countries'!$D$5:$AB$199,MATCH($B213,'All GHED Countries'!$B$5:$B$199,0),MATCH($D213,'All GHED Countries'!$D$4:$AB$4,0))),"")</f>
        <v>7.2187452299999982E-2</v>
      </c>
    </row>
    <row r="214" spans="1:26" x14ac:dyDescent="0.2">
      <c r="A214" s="6" t="s">
        <v>102</v>
      </c>
      <c r="B214" s="6" t="s">
        <v>103</v>
      </c>
      <c r="C214" s="6" t="s">
        <v>49</v>
      </c>
      <c r="D214" s="6" t="s">
        <v>25</v>
      </c>
      <c r="E214" s="6" t="s">
        <v>452</v>
      </c>
      <c r="F214" s="7">
        <v>9.0188801637660909E-2</v>
      </c>
      <c r="G214" s="7">
        <v>0.15290520663941551</v>
      </c>
      <c r="H214" s="7">
        <v>5.789447394332372E-2</v>
      </c>
      <c r="I214" s="7">
        <v>6.7788668992026721E-2</v>
      </c>
      <c r="J214" s="7">
        <v>0.18070734193436591</v>
      </c>
      <c r="K214" s="7">
        <v>2.9857834238280491E-3</v>
      </c>
      <c r="L214" s="7">
        <v>3.428894658903122E-2</v>
      </c>
      <c r="M214" s="12">
        <f t="shared" si="6"/>
        <v>3.1207519485584034E-2</v>
      </c>
      <c r="N214" s="7">
        <v>3.380221008857166E-3</v>
      </c>
      <c r="O214" s="7">
        <v>0.1852003933716804</v>
      </c>
      <c r="P214" s="7">
        <v>0.1934526429742264</v>
      </c>
      <c r="Q214" s="7"/>
      <c r="R214" s="13">
        <f t="shared" si="7"/>
        <v>1.0000000000000002</v>
      </c>
      <c r="S214" s="7">
        <v>1.072547632082988E-3</v>
      </c>
      <c r="T214" s="7">
        <v>3.8167138299669782E-3</v>
      </c>
      <c r="U214" s="7">
        <v>9.5390542772339267E-3</v>
      </c>
      <c r="V214" s="7">
        <v>1.0437824362471331E-2</v>
      </c>
      <c r="W214" s="7">
        <v>3.3544837084068771E-3</v>
      </c>
      <c r="X214" s="7">
        <v>2.9868956754219322E-3</v>
      </c>
      <c r="Y214" s="7"/>
      <c r="Z214" s="14">
        <f>IFERROR(IF(INDEX('All GHED Countries'!$D$5:$AB$199,MATCH($B214,'All GHED Countries'!$B$5:$B$199,0),MATCH($D214,'All GHED Countries'!$D$4:$AB$4,0))="","",INDEX('All GHED Countries'!$D$5:$AB$199,MATCH($B214,'All GHED Countries'!$B$5:$B$199,0),MATCH($D214,'All GHED Countries'!$D$4:$AB$4,0))),"")</f>
        <v>8.2272357900000023E-2</v>
      </c>
    </row>
    <row r="215" spans="1:26" x14ac:dyDescent="0.2">
      <c r="A215" s="6" t="s">
        <v>102</v>
      </c>
      <c r="B215" s="6" t="s">
        <v>103</v>
      </c>
      <c r="C215" s="6" t="s">
        <v>49</v>
      </c>
      <c r="D215" s="6" t="s">
        <v>26</v>
      </c>
      <c r="E215" s="6" t="s">
        <v>453</v>
      </c>
      <c r="F215" s="7">
        <v>0.1495200789864132</v>
      </c>
      <c r="G215" s="7">
        <v>0.16101835312739579</v>
      </c>
      <c r="H215" s="7">
        <v>4.9872854044341407E-2</v>
      </c>
      <c r="I215" s="7">
        <v>6.2424522763648113E-2</v>
      </c>
      <c r="J215" s="7">
        <v>0.20556489808398259</v>
      </c>
      <c r="K215" s="7">
        <v>8.3687331044787743E-3</v>
      </c>
      <c r="L215" s="7">
        <v>4.5522947835080138E-2</v>
      </c>
      <c r="M215" s="12">
        <f t="shared" si="6"/>
        <v>7.5830166638494581E-2</v>
      </c>
      <c r="N215" s="7">
        <v>8.0268434742769273E-3</v>
      </c>
      <c r="O215" s="7">
        <v>0.17921333010650711</v>
      </c>
      <c r="P215" s="7">
        <v>5.4637271835381362E-2</v>
      </c>
      <c r="Q215" s="7"/>
      <c r="R215" s="13">
        <f t="shared" si="7"/>
        <v>1</v>
      </c>
      <c r="S215" s="7">
        <v>1.104655139565263E-3</v>
      </c>
      <c r="T215" s="7">
        <v>5.220622612398299E-3</v>
      </c>
      <c r="U215" s="7">
        <v>1.744884082178173E-2</v>
      </c>
      <c r="V215" s="7">
        <v>3.2866536776435348E-2</v>
      </c>
      <c r="W215" s="7">
        <v>9.239487511444296E-3</v>
      </c>
      <c r="X215" s="7">
        <v>9.9500237768696369E-3</v>
      </c>
      <c r="Y215" s="7"/>
      <c r="Z215" s="14">
        <f>IFERROR(IF(INDEX('All GHED Countries'!$D$5:$AB$199,MATCH($B215,'All GHED Countries'!$B$5:$B$199,0),MATCH($D215,'All GHED Countries'!$D$4:$AB$4,0))="","",INDEX('All GHED Countries'!$D$5:$AB$199,MATCH($B215,'All GHED Countries'!$B$5:$B$199,0),MATCH($D215,'All GHED Countries'!$D$4:$AB$4,0))),"")</f>
        <v>8.9104604700000006E-2</v>
      </c>
    </row>
    <row r="216" spans="1:26" x14ac:dyDescent="0.2">
      <c r="A216" s="6" t="s">
        <v>102</v>
      </c>
      <c r="B216" s="6" t="s">
        <v>103</v>
      </c>
      <c r="C216" s="6" t="s">
        <v>49</v>
      </c>
      <c r="D216" s="6" t="s">
        <v>27</v>
      </c>
      <c r="E216" s="6" t="s">
        <v>452</v>
      </c>
      <c r="F216" s="7">
        <v>0.25065436201557079</v>
      </c>
      <c r="G216" s="7">
        <v>0.1816525637463785</v>
      </c>
      <c r="H216" s="7">
        <v>5.7845339395159033E-2</v>
      </c>
      <c r="I216" s="7">
        <v>5.8809166994672951E-2</v>
      </c>
      <c r="J216" s="7">
        <v>0.15941578828911579</v>
      </c>
      <c r="K216" s="7">
        <v>4.2518460750925659E-3</v>
      </c>
      <c r="L216" s="7">
        <v>2.9312866607392699E-2</v>
      </c>
      <c r="M216" s="12">
        <f t="shared" si="6"/>
        <v>3.3314125642270702E-2</v>
      </c>
      <c r="N216" s="7">
        <v>2.5090016832733709E-3</v>
      </c>
      <c r="O216" s="7">
        <v>0.16384595628263249</v>
      </c>
      <c r="P216" s="7">
        <v>5.8388983268441122E-2</v>
      </c>
      <c r="Q216" s="7"/>
      <c r="R216" s="13">
        <f t="shared" si="7"/>
        <v>1.0000000000000002</v>
      </c>
      <c r="S216" s="7">
        <v>1.227002529836477E-3</v>
      </c>
      <c r="T216" s="7">
        <v>2.7237045628104241E-3</v>
      </c>
      <c r="U216" s="7">
        <v>8.8033911105479239E-3</v>
      </c>
      <c r="V216" s="7">
        <v>1.513231773177994E-2</v>
      </c>
      <c r="W216" s="7">
        <v>2.4702676546500611E-3</v>
      </c>
      <c r="X216" s="7">
        <v>2.957442052645877E-3</v>
      </c>
      <c r="Y216" s="7"/>
      <c r="Z216" s="14">
        <f>IFERROR(IF(INDEX('All GHED Countries'!$D$5:$AB$199,MATCH($B216,'All GHED Countries'!$B$5:$B$199,0),MATCH($D216,'All GHED Countries'!$D$4:$AB$4,0))="","",INDEX('All GHED Countries'!$D$5:$AB$199,MATCH($B216,'All GHED Countries'!$B$5:$B$199,0),MATCH($D216,'All GHED Countries'!$D$4:$AB$4,0))),"")</f>
        <v>9.2824087100000008E-2</v>
      </c>
    </row>
    <row r="217" spans="1:26" x14ac:dyDescent="0.2">
      <c r="A217" s="6" t="s">
        <v>102</v>
      </c>
      <c r="B217" s="6" t="s">
        <v>103</v>
      </c>
      <c r="C217" s="6" t="s">
        <v>49</v>
      </c>
      <c r="D217" s="6" t="s">
        <v>28</v>
      </c>
      <c r="E217" s="6" t="s">
        <v>452</v>
      </c>
      <c r="F217" s="7">
        <v>0.24734923236445139</v>
      </c>
      <c r="G217" s="7">
        <v>0.19319664180352539</v>
      </c>
      <c r="H217" s="7">
        <v>5.8801886476904042E-2</v>
      </c>
      <c r="I217" s="7">
        <v>6.2849115295849078E-2</v>
      </c>
      <c r="J217" s="7">
        <v>0.16346121684449941</v>
      </c>
      <c r="K217" s="7">
        <v>3.0437836572231331E-3</v>
      </c>
      <c r="L217" s="7">
        <v>1.9634076997692079E-2</v>
      </c>
      <c r="M217" s="12">
        <f t="shared" si="6"/>
        <v>2.9501287754624211E-2</v>
      </c>
      <c r="N217" s="7">
        <v>5.7530855938722949E-3</v>
      </c>
      <c r="O217" s="7">
        <v>0.15857778372411949</v>
      </c>
      <c r="P217" s="7">
        <v>5.7831889487239517E-2</v>
      </c>
      <c r="Q217" s="7"/>
      <c r="R217" s="13">
        <f t="shared" si="7"/>
        <v>1</v>
      </c>
      <c r="S217" s="7">
        <v>0</v>
      </c>
      <c r="T217" s="7">
        <v>2.9434391410509421E-3</v>
      </c>
      <c r="U217" s="7">
        <v>8.4289393584640604E-3</v>
      </c>
      <c r="V217" s="7">
        <v>1.03020369936783E-2</v>
      </c>
      <c r="W217" s="7">
        <v>0</v>
      </c>
      <c r="X217" s="7">
        <v>7.826872261430912E-3</v>
      </c>
      <c r="Y217" s="7"/>
      <c r="Z217" s="14">
        <f>IFERROR(IF(INDEX('All GHED Countries'!$D$5:$AB$199,MATCH($B217,'All GHED Countries'!$B$5:$B$199,0),MATCH($D217,'All GHED Countries'!$D$4:$AB$4,0))="","",INDEX('All GHED Countries'!$D$5:$AB$199,MATCH($B217,'All GHED Countries'!$B$5:$B$199,0),MATCH($D217,'All GHED Countries'!$D$4:$AB$4,0))),"")</f>
        <v>8.6511554700000007E-2</v>
      </c>
    </row>
    <row r="218" spans="1:26" x14ac:dyDescent="0.2">
      <c r="A218" s="6" t="s">
        <v>102</v>
      </c>
      <c r="B218" s="6" t="s">
        <v>103</v>
      </c>
      <c r="C218" s="6" t="s">
        <v>49</v>
      </c>
      <c r="D218" s="6" t="s">
        <v>29</v>
      </c>
      <c r="E218" s="6" t="s">
        <v>453</v>
      </c>
      <c r="F218" s="7">
        <v>0.24569073440689049</v>
      </c>
      <c r="G218" s="7">
        <v>0.21747689672489101</v>
      </c>
      <c r="H218" s="7">
        <v>5.1918796032012951E-2</v>
      </c>
      <c r="I218" s="7">
        <v>5.8137590361549932E-2</v>
      </c>
      <c r="J218" s="7">
        <v>0.13722940504223641</v>
      </c>
      <c r="K218" s="7">
        <v>2.3928502812556951E-3</v>
      </c>
      <c r="L218" s="7">
        <v>1.7150442175099739E-2</v>
      </c>
      <c r="M218" s="12">
        <f t="shared" si="6"/>
        <v>2.8000516465792259E-2</v>
      </c>
      <c r="N218" s="7">
        <v>2.798187916523484E-3</v>
      </c>
      <c r="O218" s="7">
        <v>0.18429175703334821</v>
      </c>
      <c r="P218" s="7">
        <v>5.4912823560400587E-2</v>
      </c>
      <c r="Q218" s="7"/>
      <c r="R218" s="13">
        <f t="shared" si="7"/>
        <v>1.0000000000000009</v>
      </c>
      <c r="S218" s="7">
        <v>0</v>
      </c>
      <c r="T218" s="7">
        <v>3.4554630572630651E-3</v>
      </c>
      <c r="U218" s="7">
        <v>8.5489172693275148E-3</v>
      </c>
      <c r="V218" s="7">
        <v>9.5045965597447633E-3</v>
      </c>
      <c r="W218" s="7">
        <v>6.4915395794569149E-3</v>
      </c>
      <c r="X218" s="7">
        <v>0</v>
      </c>
      <c r="Y218" s="7"/>
      <c r="Z218" s="14">
        <f>IFERROR(IF(INDEX('All GHED Countries'!$D$5:$AB$199,MATCH($B218,'All GHED Countries'!$B$5:$B$199,0),MATCH($D218,'All GHED Countries'!$D$4:$AB$4,0))="","",INDEX('All GHED Countries'!$D$5:$AB$199,MATCH($B218,'All GHED Countries'!$B$5:$B$199,0),MATCH($D218,'All GHED Countries'!$D$4:$AB$4,0))),"")</f>
        <v>8.6511554700000007E-2</v>
      </c>
    </row>
    <row r="219" spans="1:26" x14ac:dyDescent="0.2">
      <c r="A219" s="6" t="s">
        <v>104</v>
      </c>
      <c r="B219" s="6" t="s">
        <v>105</v>
      </c>
      <c r="C219" s="6"/>
      <c r="D219" s="6" t="s">
        <v>12</v>
      </c>
      <c r="E219" s="6" t="s">
        <v>452</v>
      </c>
      <c r="F219" s="7">
        <v>0.27627138298707438</v>
      </c>
      <c r="G219" s="7">
        <v>4.679223919158252E-2</v>
      </c>
      <c r="H219" s="7">
        <v>7.7202027198788922E-2</v>
      </c>
      <c r="I219" s="7">
        <v>8.1049307494225772E-2</v>
      </c>
      <c r="J219" s="7">
        <v>9.014272176465743E-2</v>
      </c>
      <c r="K219" s="7">
        <v>9.414238977085499E-5</v>
      </c>
      <c r="L219" s="7">
        <v>3.4659070192866667E-2</v>
      </c>
      <c r="M219" s="12">
        <f t="shared" si="6"/>
        <v>0.12848038873199921</v>
      </c>
      <c r="N219" s="7">
        <v>2.4759171797922471E-2</v>
      </c>
      <c r="O219" s="7">
        <v>6.3579615349147897E-2</v>
      </c>
      <c r="P219" s="7">
        <v>0.16470781619857569</v>
      </c>
      <c r="Q219" s="7">
        <v>1.2262116703388131E-2</v>
      </c>
      <c r="R219" s="13">
        <f t="shared" si="7"/>
        <v>0.99999999999999989</v>
      </c>
      <c r="S219" s="7"/>
      <c r="T219" s="7">
        <v>6.7918959683124114E-2</v>
      </c>
      <c r="U219" s="7">
        <v>2.6222293053738081E-2</v>
      </c>
      <c r="V219" s="7">
        <v>7.3569671483761489E-3</v>
      </c>
      <c r="W219" s="7"/>
      <c r="X219" s="7"/>
      <c r="Y219" s="7">
        <v>2.698216884676086E-2</v>
      </c>
      <c r="Z219" s="14">
        <f>IFERROR(IF(INDEX('All GHED Countries'!$D$5:$AB$199,MATCH($B219,'All GHED Countries'!$B$5:$B$199,0),MATCH($D219,'All GHED Countries'!$D$4:$AB$4,0))="","",INDEX('All GHED Countries'!$D$5:$AB$199,MATCH($B219,'All GHED Countries'!$B$5:$B$199,0),MATCH($D219,'All GHED Countries'!$D$4:$AB$4,0))),"")</f>
        <v>0.1445895767</v>
      </c>
    </row>
    <row r="220" spans="1:26" x14ac:dyDescent="0.2">
      <c r="A220" s="6" t="s">
        <v>104</v>
      </c>
      <c r="B220" s="6" t="s">
        <v>105</v>
      </c>
      <c r="C220" s="6"/>
      <c r="D220" s="6" t="s">
        <v>14</v>
      </c>
      <c r="E220" s="6" t="s">
        <v>452</v>
      </c>
      <c r="F220" s="7">
        <v>0.13068062517480189</v>
      </c>
      <c r="G220" s="7">
        <v>3.2595803498671812E-2</v>
      </c>
      <c r="H220" s="7"/>
      <c r="I220" s="7"/>
      <c r="J220" s="7">
        <v>5.4227691199076007E-2</v>
      </c>
      <c r="K220" s="7">
        <v>9.6611387423259417E-3</v>
      </c>
      <c r="L220" s="7">
        <v>5.5671994381200858E-2</v>
      </c>
      <c r="M220" s="12">
        <f t="shared" si="6"/>
        <v>0.10578542820379</v>
      </c>
      <c r="N220" s="7">
        <v>2.7329045352875531E-2</v>
      </c>
      <c r="O220" s="7">
        <v>0.23246302492224111</v>
      </c>
      <c r="P220" s="7">
        <v>0.112628536025316</v>
      </c>
      <c r="Q220" s="7">
        <v>0.2389567124997008</v>
      </c>
      <c r="R220" s="13">
        <f t="shared" si="7"/>
        <v>1</v>
      </c>
      <c r="S220" s="7"/>
      <c r="T220" s="7"/>
      <c r="U220" s="7"/>
      <c r="V220" s="7"/>
      <c r="W220" s="7"/>
      <c r="X220" s="7"/>
      <c r="Y220" s="7">
        <v>0.10578542820379</v>
      </c>
      <c r="Z220" s="14">
        <f>IFERROR(IF(INDEX('All GHED Countries'!$D$5:$AB$199,MATCH($B220,'All GHED Countries'!$B$5:$B$199,0),MATCH($D220,'All GHED Countries'!$D$4:$AB$4,0))="","",INDEX('All GHED Countries'!$D$5:$AB$199,MATCH($B220,'All GHED Countries'!$B$5:$B$199,0),MATCH($D220,'All GHED Countries'!$D$4:$AB$4,0))),"")</f>
        <v>0.10385349269999999</v>
      </c>
    </row>
    <row r="221" spans="1:26" x14ac:dyDescent="0.2">
      <c r="A221" s="6" t="s">
        <v>104</v>
      </c>
      <c r="B221" s="6" t="s">
        <v>105</v>
      </c>
      <c r="C221" s="6"/>
      <c r="D221" s="6" t="s">
        <v>15</v>
      </c>
      <c r="E221" s="6" t="s">
        <v>452</v>
      </c>
      <c r="F221" s="7">
        <v>0.23524434664874699</v>
      </c>
      <c r="G221" s="7">
        <v>3.1434105718484158E-2</v>
      </c>
      <c r="H221" s="7"/>
      <c r="I221" s="7"/>
      <c r="J221" s="7">
        <v>0.22392304690258111</v>
      </c>
      <c r="K221" s="7">
        <v>1.198177798570757E-2</v>
      </c>
      <c r="L221" s="7">
        <v>3.4780713032647029E-2</v>
      </c>
      <c r="M221" s="12">
        <f t="shared" si="6"/>
        <v>0.1080531345861009</v>
      </c>
      <c r="N221" s="7">
        <v>2.2187015578147139E-2</v>
      </c>
      <c r="O221" s="7">
        <v>9.4808038987402768E-2</v>
      </c>
      <c r="P221" s="7">
        <v>0.10242742334075219</v>
      </c>
      <c r="Q221" s="7">
        <v>0.13516039721942999</v>
      </c>
      <c r="R221" s="13">
        <f t="shared" si="7"/>
        <v>0.99999999999999978</v>
      </c>
      <c r="S221" s="7"/>
      <c r="T221" s="7"/>
      <c r="U221" s="7"/>
      <c r="V221" s="7"/>
      <c r="W221" s="7"/>
      <c r="X221" s="7"/>
      <c r="Y221" s="7">
        <v>0.1080531345861009</v>
      </c>
      <c r="Z221" s="14">
        <f>IFERROR(IF(INDEX('All GHED Countries'!$D$5:$AB$199,MATCH($B221,'All GHED Countries'!$B$5:$B$199,0),MATCH($D221,'All GHED Countries'!$D$4:$AB$4,0))="","",INDEX('All GHED Countries'!$D$5:$AB$199,MATCH($B221,'All GHED Countries'!$B$5:$B$199,0),MATCH($D221,'All GHED Countries'!$D$4:$AB$4,0))),"")</f>
        <v>0.106962328</v>
      </c>
    </row>
    <row r="222" spans="1:26" x14ac:dyDescent="0.2">
      <c r="A222" s="6" t="s">
        <v>104</v>
      </c>
      <c r="B222" s="6" t="s">
        <v>105</v>
      </c>
      <c r="C222" s="6"/>
      <c r="D222" s="6" t="s">
        <v>16</v>
      </c>
      <c r="E222" s="6" t="s">
        <v>452</v>
      </c>
      <c r="F222" s="7">
        <v>0.1955388454683098</v>
      </c>
      <c r="G222" s="7">
        <v>2.910953444780108E-2</v>
      </c>
      <c r="H222" s="7"/>
      <c r="I222" s="7"/>
      <c r="J222" s="7">
        <v>0.22025193575353841</v>
      </c>
      <c r="K222" s="7">
        <v>9.5201196903825676E-3</v>
      </c>
      <c r="L222" s="7">
        <v>2.834549525869115E-2</v>
      </c>
      <c r="M222" s="12">
        <f t="shared" si="6"/>
        <v>0.10034140041720931</v>
      </c>
      <c r="N222" s="7">
        <v>2.0048446500753572E-2</v>
      </c>
      <c r="O222" s="7">
        <v>7.4789134720453343E-2</v>
      </c>
      <c r="P222" s="7">
        <v>0.17370912837833469</v>
      </c>
      <c r="Q222" s="7">
        <v>0.14834595936452619</v>
      </c>
      <c r="R222" s="13">
        <f t="shared" si="7"/>
        <v>1</v>
      </c>
      <c r="S222" s="7"/>
      <c r="T222" s="7"/>
      <c r="U222" s="7"/>
      <c r="V222" s="7"/>
      <c r="W222" s="7"/>
      <c r="X222" s="7"/>
      <c r="Y222" s="7">
        <v>0.10034140041720931</v>
      </c>
      <c r="Z222" s="14">
        <f>IFERROR(IF(INDEX('All GHED Countries'!$D$5:$AB$199,MATCH($B222,'All GHED Countries'!$B$5:$B$199,0),MATCH($D222,'All GHED Countries'!$D$4:$AB$4,0))="","",INDEX('All GHED Countries'!$D$5:$AB$199,MATCH($B222,'All GHED Countries'!$B$5:$B$199,0),MATCH($D222,'All GHED Countries'!$D$4:$AB$4,0))),"")</f>
        <v>9.2036390300000021E-2</v>
      </c>
    </row>
    <row r="223" spans="1:26" x14ac:dyDescent="0.2">
      <c r="A223" s="6" t="s">
        <v>104</v>
      </c>
      <c r="B223" s="6" t="s">
        <v>105</v>
      </c>
      <c r="C223" s="6"/>
      <c r="D223" s="6" t="s">
        <v>17</v>
      </c>
      <c r="E223" s="6" t="s">
        <v>452</v>
      </c>
      <c r="F223" s="7">
        <v>0.2194964586627014</v>
      </c>
      <c r="G223" s="7">
        <v>3.2888187073605399E-2</v>
      </c>
      <c r="H223" s="7"/>
      <c r="I223" s="7"/>
      <c r="J223" s="7">
        <v>0.23844707624907591</v>
      </c>
      <c r="K223" s="7">
        <v>7.0834227610428926E-3</v>
      </c>
      <c r="L223" s="7">
        <v>1.7111232496011621E-2</v>
      </c>
      <c r="M223" s="12">
        <f t="shared" si="6"/>
        <v>9.9409261849184596E-2</v>
      </c>
      <c r="N223" s="7">
        <v>2.1926029227964119E-2</v>
      </c>
      <c r="O223" s="7">
        <v>7.3826883223271592E-2</v>
      </c>
      <c r="P223" s="7">
        <v>0.16442711847013711</v>
      </c>
      <c r="Q223" s="7">
        <v>0.12538432998700541</v>
      </c>
      <c r="R223" s="13">
        <f t="shared" si="7"/>
        <v>1.0000000000000002</v>
      </c>
      <c r="S223" s="7"/>
      <c r="T223" s="7"/>
      <c r="U223" s="7"/>
      <c r="V223" s="7"/>
      <c r="W223" s="7"/>
      <c r="X223" s="7"/>
      <c r="Y223" s="7">
        <v>9.9409261849184596E-2</v>
      </c>
      <c r="Z223" s="14">
        <f>IFERROR(IF(INDEX('All GHED Countries'!$D$5:$AB$199,MATCH($B223,'All GHED Countries'!$B$5:$B$199,0),MATCH($D223,'All GHED Countries'!$D$4:$AB$4,0))="","",INDEX('All GHED Countries'!$D$5:$AB$199,MATCH($B223,'All GHED Countries'!$B$5:$B$199,0),MATCH($D223,'All GHED Countries'!$D$4:$AB$4,0))),"")</f>
        <v>9.8833131800000015E-2</v>
      </c>
    </row>
    <row r="224" spans="1:26" x14ac:dyDescent="0.2">
      <c r="A224" s="6" t="s">
        <v>104</v>
      </c>
      <c r="B224" s="6" t="s">
        <v>105</v>
      </c>
      <c r="C224" s="6"/>
      <c r="D224" s="6" t="s">
        <v>18</v>
      </c>
      <c r="E224" s="6" t="s">
        <v>452</v>
      </c>
      <c r="F224" s="7">
        <v>0.21127433501009221</v>
      </c>
      <c r="G224" s="7">
        <v>2.9661452148935799E-2</v>
      </c>
      <c r="H224" s="7"/>
      <c r="I224" s="7"/>
      <c r="J224" s="7">
        <v>0.2532609826714684</v>
      </c>
      <c r="K224" s="7">
        <v>5.3817604668335616E-3</v>
      </c>
      <c r="L224" s="7">
        <v>1.3646012720829831E-2</v>
      </c>
      <c r="M224" s="12">
        <f t="shared" si="6"/>
        <v>0.1049377193385447</v>
      </c>
      <c r="N224" s="7">
        <v>1.9828281177753659E-2</v>
      </c>
      <c r="O224" s="7">
        <v>7.5656942570455646E-2</v>
      </c>
      <c r="P224" s="7">
        <v>0.1741155065591683</v>
      </c>
      <c r="Q224" s="7">
        <v>0.11223700733591779</v>
      </c>
      <c r="R224" s="13">
        <f t="shared" si="7"/>
        <v>1</v>
      </c>
      <c r="S224" s="7"/>
      <c r="T224" s="7"/>
      <c r="U224" s="7"/>
      <c r="V224" s="7"/>
      <c r="W224" s="7"/>
      <c r="X224" s="7"/>
      <c r="Y224" s="7">
        <v>0.1049377193385447</v>
      </c>
      <c r="Z224" s="14">
        <f>IFERROR(IF(INDEX('All GHED Countries'!$D$5:$AB$199,MATCH($B224,'All GHED Countries'!$B$5:$B$199,0),MATCH($D224,'All GHED Countries'!$D$4:$AB$4,0))="","",INDEX('All GHED Countries'!$D$5:$AB$199,MATCH($B224,'All GHED Countries'!$B$5:$B$199,0),MATCH($D224,'All GHED Countries'!$D$4:$AB$4,0))),"")</f>
        <v>0.10400711059999999</v>
      </c>
    </row>
    <row r="225" spans="1:26" x14ac:dyDescent="0.2">
      <c r="A225" s="6" t="s">
        <v>104</v>
      </c>
      <c r="B225" s="6" t="s">
        <v>105</v>
      </c>
      <c r="C225" s="6"/>
      <c r="D225" s="6" t="s">
        <v>19</v>
      </c>
      <c r="E225" s="6" t="s">
        <v>452</v>
      </c>
      <c r="F225" s="7">
        <v>0.16042131519235969</v>
      </c>
      <c r="G225" s="7">
        <v>3.2161712137122378E-2</v>
      </c>
      <c r="H225" s="7"/>
      <c r="I225" s="7"/>
      <c r="J225" s="7">
        <v>0.16054723023708711</v>
      </c>
      <c r="K225" s="7">
        <v>6.0938451766329562E-3</v>
      </c>
      <c r="L225" s="7">
        <v>1.5377433196678E-2</v>
      </c>
      <c r="M225" s="12">
        <f t="shared" si="6"/>
        <v>0.1168101611758174</v>
      </c>
      <c r="N225" s="7">
        <v>2.366327722084682E-2</v>
      </c>
      <c r="O225" s="7">
        <v>0.13685214038529681</v>
      </c>
      <c r="P225" s="7">
        <v>0.2156741440681354</v>
      </c>
      <c r="Q225" s="7">
        <v>0.13239874121002351</v>
      </c>
      <c r="R225" s="13">
        <f t="shared" si="7"/>
        <v>1.0000000000000002</v>
      </c>
      <c r="S225" s="7"/>
      <c r="T225" s="7"/>
      <c r="U225" s="7"/>
      <c r="V225" s="7"/>
      <c r="W225" s="7"/>
      <c r="X225" s="7"/>
      <c r="Y225" s="7">
        <v>0.1168101611758174</v>
      </c>
      <c r="Z225" s="14">
        <f>IFERROR(IF(INDEX('All GHED Countries'!$D$5:$AB$199,MATCH($B225,'All GHED Countries'!$B$5:$B$199,0),MATCH($D225,'All GHED Countries'!$D$4:$AB$4,0))="","",INDEX('All GHED Countries'!$D$5:$AB$199,MATCH($B225,'All GHED Countries'!$B$5:$B$199,0),MATCH($D225,'All GHED Countries'!$D$4:$AB$4,0))),"")</f>
        <v>0.1034640503</v>
      </c>
    </row>
    <row r="226" spans="1:26" x14ac:dyDescent="0.2">
      <c r="A226" s="6" t="s">
        <v>104</v>
      </c>
      <c r="B226" s="6" t="s">
        <v>105</v>
      </c>
      <c r="C226" s="6"/>
      <c r="D226" s="6" t="s">
        <v>20</v>
      </c>
      <c r="E226" s="6" t="s">
        <v>453</v>
      </c>
      <c r="F226" s="7">
        <v>7.043368080319945E-2</v>
      </c>
      <c r="G226" s="7">
        <v>2.1671143018644239E-2</v>
      </c>
      <c r="H226" s="7"/>
      <c r="I226" s="7"/>
      <c r="J226" s="7">
        <v>0.13500456987181139</v>
      </c>
      <c r="K226" s="7">
        <v>4.6916143435291298E-3</v>
      </c>
      <c r="L226" s="7">
        <v>5.172192619076988E-2</v>
      </c>
      <c r="M226" s="12">
        <f t="shared" si="6"/>
        <v>0.10552052816601445</v>
      </c>
      <c r="N226" s="7">
        <v>2.338366919788595E-2</v>
      </c>
      <c r="O226" s="7">
        <v>0.18259026552800839</v>
      </c>
      <c r="P226" s="7">
        <v>0.29857494444277188</v>
      </c>
      <c r="Q226" s="7">
        <v>0.1064076584373652</v>
      </c>
      <c r="R226" s="13">
        <f t="shared" si="7"/>
        <v>1</v>
      </c>
      <c r="S226" s="7">
        <v>0</v>
      </c>
      <c r="T226" s="7">
        <v>2.5267969376345609E-2</v>
      </c>
      <c r="U226" s="7">
        <v>4.7959328764422077E-2</v>
      </c>
      <c r="V226" s="7">
        <v>7.5149363234559927E-3</v>
      </c>
      <c r="W226" s="7">
        <v>1.4359122658169239E-3</v>
      </c>
      <c r="X226" s="7">
        <v>2.334238143597385E-2</v>
      </c>
      <c r="Y226" s="7"/>
      <c r="Z226" s="14">
        <f>IFERROR(IF(INDEX('All GHED Countries'!$D$5:$AB$199,MATCH($B226,'All GHED Countries'!$B$5:$B$199,0),MATCH($D226,'All GHED Countries'!$D$4:$AB$4,0))="","",INDEX('All GHED Countries'!$D$5:$AB$199,MATCH($B226,'All GHED Countries'!$B$5:$B$199,0),MATCH($D226,'All GHED Countries'!$D$4:$AB$4,0))),"")</f>
        <v>7.1389055300000004E-2</v>
      </c>
    </row>
    <row r="227" spans="1:26" x14ac:dyDescent="0.2">
      <c r="A227" s="6" t="s">
        <v>104</v>
      </c>
      <c r="B227" s="6" t="s">
        <v>105</v>
      </c>
      <c r="C227" s="6"/>
      <c r="D227" s="6" t="s">
        <v>21</v>
      </c>
      <c r="E227" s="6" t="s">
        <v>453</v>
      </c>
      <c r="F227" s="7">
        <v>7.295690520314882E-2</v>
      </c>
      <c r="G227" s="7">
        <v>2.243458064581778E-2</v>
      </c>
      <c r="H227" s="7"/>
      <c r="I227" s="7"/>
      <c r="J227" s="7">
        <v>0.13262579226326229</v>
      </c>
      <c r="K227" s="7">
        <v>5.1520166065248283E-3</v>
      </c>
      <c r="L227" s="7">
        <v>5.2358378370815473E-2</v>
      </c>
      <c r="M227" s="12">
        <f t="shared" si="6"/>
        <v>9.6794442105477385E-2</v>
      </c>
      <c r="N227" s="7">
        <v>2.3424154505804519E-2</v>
      </c>
      <c r="O227" s="7">
        <v>0.19075944069997719</v>
      </c>
      <c r="P227" s="7">
        <v>0.2944262061544371</v>
      </c>
      <c r="Q227" s="7">
        <v>0.10906808344473461</v>
      </c>
      <c r="R227" s="13">
        <f t="shared" si="7"/>
        <v>1</v>
      </c>
      <c r="S227" s="7">
        <v>0</v>
      </c>
      <c r="T227" s="7">
        <v>2.3892866546171E-2</v>
      </c>
      <c r="U227" s="7">
        <v>4.2540864439828692E-2</v>
      </c>
      <c r="V227" s="7">
        <v>8.7815140480057789E-3</v>
      </c>
      <c r="W227" s="7">
        <v>1.2089845166033449E-3</v>
      </c>
      <c r="X227" s="7">
        <v>2.0370212554868559E-2</v>
      </c>
      <c r="Y227" s="7"/>
      <c r="Z227" s="14">
        <f>IFERROR(IF(INDEX('All GHED Countries'!$D$5:$AB$199,MATCH($B227,'All GHED Countries'!$B$5:$B$199,0),MATCH($D227,'All GHED Countries'!$D$4:$AB$4,0))="","",INDEX('All GHED Countries'!$D$5:$AB$199,MATCH($B227,'All GHED Countries'!$B$5:$B$199,0),MATCH($D227,'All GHED Countries'!$D$4:$AB$4,0))),"")</f>
        <v>7.1201858500000006E-2</v>
      </c>
    </row>
    <row r="228" spans="1:26" x14ac:dyDescent="0.2">
      <c r="A228" s="6" t="s">
        <v>104</v>
      </c>
      <c r="B228" s="6" t="s">
        <v>105</v>
      </c>
      <c r="C228" s="6"/>
      <c r="D228" s="6" t="s">
        <v>22</v>
      </c>
      <c r="E228" s="6" t="s">
        <v>453</v>
      </c>
      <c r="F228" s="7">
        <v>6.9450399770859927E-2</v>
      </c>
      <c r="G228" s="7">
        <v>2.448222826201462E-2</v>
      </c>
      <c r="H228" s="7"/>
      <c r="I228" s="7"/>
      <c r="J228" s="7">
        <v>0.13747607667081779</v>
      </c>
      <c r="K228" s="7">
        <v>5.3213570058270147E-3</v>
      </c>
      <c r="L228" s="7">
        <v>4.6147468497509579E-2</v>
      </c>
      <c r="M228" s="12">
        <f t="shared" si="6"/>
        <v>9.1486341280918107E-2</v>
      </c>
      <c r="N228" s="7">
        <v>3.3725274481231748E-2</v>
      </c>
      <c r="O228" s="7">
        <v>0.20669870300108589</v>
      </c>
      <c r="P228" s="7">
        <v>0.27249447791764969</v>
      </c>
      <c r="Q228" s="7">
        <v>0.1127176731120856</v>
      </c>
      <c r="R228" s="13">
        <f t="shared" si="7"/>
        <v>1</v>
      </c>
      <c r="S228" s="7">
        <v>0</v>
      </c>
      <c r="T228" s="7">
        <v>2.1994942290751659E-2</v>
      </c>
      <c r="U228" s="7">
        <v>3.9676425050295221E-2</v>
      </c>
      <c r="V228" s="7">
        <v>8.170802747631014E-3</v>
      </c>
      <c r="W228" s="7">
        <v>1.1371589021547941E-3</v>
      </c>
      <c r="X228" s="7">
        <v>2.0507012290085419E-2</v>
      </c>
      <c r="Y228" s="7"/>
      <c r="Z228" s="14">
        <f>IFERROR(IF(INDEX('All GHED Countries'!$D$5:$AB$199,MATCH($B228,'All GHED Countries'!$B$5:$B$199,0),MATCH($D228,'All GHED Countries'!$D$4:$AB$4,0))="","",INDEX('All GHED Countries'!$D$5:$AB$199,MATCH($B228,'All GHED Countries'!$B$5:$B$199,0),MATCH($D228,'All GHED Countries'!$D$4:$AB$4,0))),"")</f>
        <v>6.415807720000001E-2</v>
      </c>
    </row>
    <row r="229" spans="1:26" x14ac:dyDescent="0.2">
      <c r="A229" s="6" t="s">
        <v>104</v>
      </c>
      <c r="B229" s="6" t="s">
        <v>105</v>
      </c>
      <c r="C229" s="6"/>
      <c r="D229" s="6" t="s">
        <v>23</v>
      </c>
      <c r="E229" s="6" t="s">
        <v>453</v>
      </c>
      <c r="F229" s="7">
        <v>6.6783166271917022E-2</v>
      </c>
      <c r="G229" s="7">
        <v>2.4260722643139401E-2</v>
      </c>
      <c r="H229" s="7"/>
      <c r="I229" s="7"/>
      <c r="J229" s="7">
        <v>0.1542857548840236</v>
      </c>
      <c r="K229" s="7">
        <v>4.84803958846396E-3</v>
      </c>
      <c r="L229" s="7">
        <v>4.9014827517519018E-2</v>
      </c>
      <c r="M229" s="12">
        <f t="shared" si="6"/>
        <v>9.3050309988766663E-2</v>
      </c>
      <c r="N229" s="7">
        <v>2.9869228710688291E-2</v>
      </c>
      <c r="O229" s="7">
        <v>0.19676293891612209</v>
      </c>
      <c r="P229" s="7">
        <v>0.27324507887405702</v>
      </c>
      <c r="Q229" s="7">
        <v>0.1078799326053029</v>
      </c>
      <c r="R229" s="13">
        <f t="shared" si="7"/>
        <v>1</v>
      </c>
      <c r="S229" s="7">
        <v>0</v>
      </c>
      <c r="T229" s="7">
        <v>2.648370562421536E-2</v>
      </c>
      <c r="U229" s="7">
        <v>4.393443779028966E-2</v>
      </c>
      <c r="V229" s="7">
        <v>7.9383227477627417E-3</v>
      </c>
      <c r="W229" s="7">
        <v>1.1146491368179191E-3</v>
      </c>
      <c r="X229" s="7">
        <v>1.3579194689681001E-2</v>
      </c>
      <c r="Y229" s="7"/>
      <c r="Z229" s="14">
        <f>IFERROR(IF(INDEX('All GHED Countries'!$D$5:$AB$199,MATCH($B229,'All GHED Countries'!$B$5:$B$199,0),MATCH($D229,'All GHED Countries'!$D$4:$AB$4,0))="","",INDEX('All GHED Countries'!$D$5:$AB$199,MATCH($B229,'All GHED Countries'!$B$5:$B$199,0),MATCH($D229,'All GHED Countries'!$D$4:$AB$4,0))),"")</f>
        <v>6.3416132899999991E-2</v>
      </c>
    </row>
    <row r="230" spans="1:26" x14ac:dyDescent="0.2">
      <c r="A230" s="6" t="s">
        <v>104</v>
      </c>
      <c r="B230" s="6" t="s">
        <v>105</v>
      </c>
      <c r="C230" s="6"/>
      <c r="D230" s="6" t="s">
        <v>24</v>
      </c>
      <c r="E230" s="6" t="s">
        <v>453</v>
      </c>
      <c r="F230" s="7">
        <v>7.3648830670583865E-2</v>
      </c>
      <c r="G230" s="7">
        <v>3.1282438814584243E-2</v>
      </c>
      <c r="H230" s="7"/>
      <c r="I230" s="7"/>
      <c r="J230" s="7">
        <v>0.1035931985012256</v>
      </c>
      <c r="K230" s="7">
        <v>5.1672840006830867E-3</v>
      </c>
      <c r="L230" s="7">
        <v>5.132975038957853E-2</v>
      </c>
      <c r="M230" s="12">
        <f t="shared" si="6"/>
        <v>9.5026159482636735E-2</v>
      </c>
      <c r="N230" s="7">
        <v>2.5403665337522811E-2</v>
      </c>
      <c r="O230" s="7">
        <v>0.20143924322613041</v>
      </c>
      <c r="P230" s="7">
        <v>0.30667701684103982</v>
      </c>
      <c r="Q230" s="7">
        <v>0.10643241273601491</v>
      </c>
      <c r="R230" s="13">
        <f t="shared" si="7"/>
        <v>0.99999999999999989</v>
      </c>
      <c r="S230" s="7">
        <v>2.7269986948742098E-2</v>
      </c>
      <c r="T230" s="7">
        <v>4.5447293665608873E-2</v>
      </c>
      <c r="U230" s="7">
        <v>5.6650055581054914E-3</v>
      </c>
      <c r="V230" s="7">
        <v>6.0333302489272494E-3</v>
      </c>
      <c r="W230" s="7">
        <v>2.7436431051008399E-4</v>
      </c>
      <c r="X230" s="7">
        <v>1.033617875074294E-2</v>
      </c>
      <c r="Y230" s="7"/>
      <c r="Z230" s="14">
        <f>IFERROR(IF(INDEX('All GHED Countries'!$D$5:$AB$199,MATCH($B230,'All GHED Countries'!$B$5:$B$199,0),MATCH($D230,'All GHED Countries'!$D$4:$AB$4,0))="","",INDEX('All GHED Countries'!$D$5:$AB$199,MATCH($B230,'All GHED Countries'!$B$5:$B$199,0),MATCH($D230,'All GHED Countries'!$D$4:$AB$4,0))),"")</f>
        <v>7.3343763400000012E-2</v>
      </c>
    </row>
    <row r="231" spans="1:26" x14ac:dyDescent="0.2">
      <c r="A231" s="6" t="s">
        <v>104</v>
      </c>
      <c r="B231" s="6" t="s">
        <v>105</v>
      </c>
      <c r="C231" s="6"/>
      <c r="D231" s="6" t="s">
        <v>25</v>
      </c>
      <c r="E231" s="6" t="s">
        <v>453</v>
      </c>
      <c r="F231" s="7">
        <v>7.225240653597742E-2</v>
      </c>
      <c r="G231" s="7">
        <v>2.850359054410067E-2</v>
      </c>
      <c r="H231" s="7"/>
      <c r="I231" s="7"/>
      <c r="J231" s="7">
        <v>0.12584156140045111</v>
      </c>
      <c r="K231" s="7">
        <v>4.0343419188130373E-3</v>
      </c>
      <c r="L231" s="7">
        <v>4.0912248264086223E-2</v>
      </c>
      <c r="M231" s="12">
        <f t="shared" si="6"/>
        <v>9.3529948143601549E-2</v>
      </c>
      <c r="N231" s="7">
        <v>2.371906107840091E-2</v>
      </c>
      <c r="O231" s="7">
        <v>0.20065218324783221</v>
      </c>
      <c r="P231" s="7">
        <v>0.31031242659149638</v>
      </c>
      <c r="Q231" s="7">
        <v>0.1002422322752405</v>
      </c>
      <c r="R231" s="13">
        <f t="shared" si="7"/>
        <v>1</v>
      </c>
      <c r="S231" s="7">
        <v>1.6893112166930619E-3</v>
      </c>
      <c r="T231" s="7">
        <v>2.9884743913251039E-2</v>
      </c>
      <c r="U231" s="7">
        <v>4.3675565355985463E-2</v>
      </c>
      <c r="V231" s="7">
        <v>5.8883407720617016E-3</v>
      </c>
      <c r="W231" s="7">
        <v>1.048241858444409E-3</v>
      </c>
      <c r="X231" s="7">
        <v>1.1343745027165879E-2</v>
      </c>
      <c r="Y231" s="7"/>
      <c r="Z231" s="14">
        <f>IFERROR(IF(INDEX('All GHED Countries'!$D$5:$AB$199,MATCH($B231,'All GHED Countries'!$B$5:$B$199,0),MATCH($D231,'All GHED Countries'!$D$4:$AB$4,0))="","",INDEX('All GHED Countries'!$D$5:$AB$199,MATCH($B231,'All GHED Countries'!$B$5:$B$199,0),MATCH($D231,'All GHED Countries'!$D$4:$AB$4,0))),"")</f>
        <v>7.0939359699999996E-2</v>
      </c>
    </row>
    <row r="232" spans="1:26" x14ac:dyDescent="0.2">
      <c r="A232" s="6" t="s">
        <v>104</v>
      </c>
      <c r="B232" s="6" t="s">
        <v>105</v>
      </c>
      <c r="C232" s="6"/>
      <c r="D232" s="6" t="s">
        <v>26</v>
      </c>
      <c r="E232" s="6" t="s">
        <v>453</v>
      </c>
      <c r="F232" s="7">
        <v>5.9048815783526012E-2</v>
      </c>
      <c r="G232" s="7">
        <v>3.0940793767319182E-2</v>
      </c>
      <c r="H232" s="7">
        <v>0.1052913282690822</v>
      </c>
      <c r="I232" s="7">
        <v>0</v>
      </c>
      <c r="J232" s="7">
        <v>9.699513582033123E-2</v>
      </c>
      <c r="K232" s="7">
        <v>3.1591519092278278E-3</v>
      </c>
      <c r="L232" s="7">
        <v>3.8708576646687899E-2</v>
      </c>
      <c r="M232" s="12">
        <f t="shared" si="6"/>
        <v>0.10980442278907881</v>
      </c>
      <c r="N232" s="7">
        <v>1.8970026426770231E-2</v>
      </c>
      <c r="O232" s="7">
        <v>0.20814897901735249</v>
      </c>
      <c r="P232" s="7">
        <v>0.32893276957062412</v>
      </c>
      <c r="Q232" s="7"/>
      <c r="R232" s="13">
        <f t="shared" si="7"/>
        <v>1</v>
      </c>
      <c r="S232" s="7">
        <v>1.78012090364859E-3</v>
      </c>
      <c r="T232" s="7">
        <v>2.9999054859609291E-2</v>
      </c>
      <c r="U232" s="7">
        <v>4.9958131283441079E-2</v>
      </c>
      <c r="V232" s="7">
        <v>1.0345291027247671E-2</v>
      </c>
      <c r="W232" s="7">
        <v>1.026854629602194E-3</v>
      </c>
      <c r="X232" s="7">
        <v>1.6694970085529989E-2</v>
      </c>
      <c r="Y232" s="7"/>
      <c r="Z232" s="14">
        <f>IFERROR(IF(INDEX('All GHED Countries'!$D$5:$AB$199,MATCH($B232,'All GHED Countries'!$B$5:$B$199,0),MATCH($D232,'All GHED Countries'!$D$4:$AB$4,0))="","",INDEX('All GHED Countries'!$D$5:$AB$199,MATCH($B232,'All GHED Countries'!$B$5:$B$199,0),MATCH($D232,'All GHED Countries'!$D$4:$AB$4,0))),"")</f>
        <v>6.9168786999999995E-2</v>
      </c>
    </row>
    <row r="233" spans="1:26" x14ac:dyDescent="0.2">
      <c r="A233" s="6" t="s">
        <v>104</v>
      </c>
      <c r="B233" s="6" t="s">
        <v>105</v>
      </c>
      <c r="C233" s="6"/>
      <c r="D233" s="6" t="s">
        <v>27</v>
      </c>
      <c r="E233" s="6" t="s">
        <v>453</v>
      </c>
      <c r="F233" s="7">
        <v>6.9566951799058752E-2</v>
      </c>
      <c r="G233" s="7">
        <v>2.2286730588362329E-2</v>
      </c>
      <c r="H233" s="7">
        <v>0.1230744122270224</v>
      </c>
      <c r="I233" s="7">
        <v>0</v>
      </c>
      <c r="J233" s="7">
        <v>0.13363931946830729</v>
      </c>
      <c r="K233" s="7">
        <v>2.8105732291705621E-3</v>
      </c>
      <c r="L233" s="7">
        <v>3.9252389735801502E-2</v>
      </c>
      <c r="M233" s="12">
        <f t="shared" si="6"/>
        <v>0.11067474179739381</v>
      </c>
      <c r="N233" s="7">
        <v>1.9877597476185262E-2</v>
      </c>
      <c r="O233" s="7">
        <v>0.19711173364173809</v>
      </c>
      <c r="P233" s="7">
        <v>0.28170555003696007</v>
      </c>
      <c r="Q233" s="7"/>
      <c r="R233" s="13">
        <f t="shared" si="7"/>
        <v>1</v>
      </c>
      <c r="S233" s="7">
        <v>1.414676524298357E-3</v>
      </c>
      <c r="T233" s="7">
        <v>4.1748827964981652E-2</v>
      </c>
      <c r="U233" s="7">
        <v>3.654033353028617E-2</v>
      </c>
      <c r="V233" s="7">
        <v>1.5131693953442681E-2</v>
      </c>
      <c r="W233" s="7">
        <v>8.9957685164975096E-4</v>
      </c>
      <c r="X233" s="7">
        <v>1.4939632972735191E-2</v>
      </c>
      <c r="Y233" s="7"/>
      <c r="Z233" s="14">
        <f>IFERROR(IF(INDEX('All GHED Countries'!$D$5:$AB$199,MATCH($B233,'All GHED Countries'!$B$5:$B$199,0),MATCH($D233,'All GHED Countries'!$D$4:$AB$4,0))="","",INDEX('All GHED Countries'!$D$5:$AB$199,MATCH($B233,'All GHED Countries'!$B$5:$B$199,0),MATCH($D233,'All GHED Countries'!$D$4:$AB$4,0))),"")</f>
        <v>9.2234439799999984E-2</v>
      </c>
    </row>
    <row r="234" spans="1:26" x14ac:dyDescent="0.2">
      <c r="A234" s="6" t="s">
        <v>104</v>
      </c>
      <c r="B234" s="6" t="s">
        <v>105</v>
      </c>
      <c r="C234" s="6"/>
      <c r="D234" s="6" t="s">
        <v>28</v>
      </c>
      <c r="E234" s="6" t="s">
        <v>453</v>
      </c>
      <c r="F234" s="7">
        <v>6.9483128696269505E-2</v>
      </c>
      <c r="G234" s="7">
        <v>2.2725695728742491E-2</v>
      </c>
      <c r="H234" s="7">
        <v>0.1420821197612826</v>
      </c>
      <c r="I234" s="7">
        <v>0</v>
      </c>
      <c r="J234" s="7">
        <v>0.154573955209801</v>
      </c>
      <c r="K234" s="7">
        <v>3.408037187345705E-3</v>
      </c>
      <c r="L234" s="7">
        <v>4.5501568683447083E-2</v>
      </c>
      <c r="M234" s="12">
        <f t="shared" si="6"/>
        <v>8.9938519995481164E-2</v>
      </c>
      <c r="N234" s="7">
        <v>2.043360004679385E-2</v>
      </c>
      <c r="O234" s="7">
        <v>0.2098124862729446</v>
      </c>
      <c r="P234" s="7">
        <v>0.24204088841789201</v>
      </c>
      <c r="Q234" s="7"/>
      <c r="R234" s="13">
        <f t="shared" si="7"/>
        <v>1</v>
      </c>
      <c r="S234" s="7">
        <v>1.232065942623632E-3</v>
      </c>
      <c r="T234" s="7">
        <v>4.1616991212964187E-2</v>
      </c>
      <c r="U234" s="7">
        <v>2.8253218940727218E-2</v>
      </c>
      <c r="V234" s="7">
        <v>6.3636191600160343E-3</v>
      </c>
      <c r="W234" s="7">
        <v>8.6562882959756698E-4</v>
      </c>
      <c r="X234" s="7">
        <v>1.1606995909552539E-2</v>
      </c>
      <c r="Y234" s="7"/>
      <c r="Z234" s="14">
        <f>IFERROR(IF(INDEX('All GHED Countries'!$D$5:$AB$199,MATCH($B234,'All GHED Countries'!$B$5:$B$199,0),MATCH($D234,'All GHED Countries'!$D$4:$AB$4,0))="","",INDEX('All GHED Countries'!$D$5:$AB$199,MATCH($B234,'All GHED Countries'!$B$5:$B$199,0),MATCH($D234,'All GHED Countries'!$D$4:$AB$4,0))),"")</f>
        <v>7.5484380700000006E-2</v>
      </c>
    </row>
    <row r="235" spans="1:26" x14ac:dyDescent="0.2">
      <c r="A235" s="6" t="s">
        <v>104</v>
      </c>
      <c r="B235" s="6" t="s">
        <v>105</v>
      </c>
      <c r="C235" s="6"/>
      <c r="D235" s="6" t="s">
        <v>29</v>
      </c>
      <c r="E235" s="6" t="s">
        <v>453</v>
      </c>
      <c r="F235" s="7">
        <v>8.7490885078097963E-2</v>
      </c>
      <c r="G235" s="7">
        <v>2.3941783318192439E-2</v>
      </c>
      <c r="H235" s="7">
        <v>0.1368689727659578</v>
      </c>
      <c r="I235" s="7">
        <v>0</v>
      </c>
      <c r="J235" s="7">
        <v>0.13978265061342329</v>
      </c>
      <c r="K235" s="7">
        <v>7.7406270165276247E-3</v>
      </c>
      <c r="L235" s="7">
        <v>4.7960409082434562E-2</v>
      </c>
      <c r="M235" s="12">
        <f t="shared" si="6"/>
        <v>8.811583120039819E-2</v>
      </c>
      <c r="N235" s="7">
        <v>2.3501047896330691E-2</v>
      </c>
      <c r="O235" s="7">
        <v>0.1977449663270536</v>
      </c>
      <c r="P235" s="7">
        <v>0.2468528267015839</v>
      </c>
      <c r="Q235" s="7"/>
      <c r="R235" s="13">
        <f t="shared" si="7"/>
        <v>1</v>
      </c>
      <c r="S235" s="7">
        <v>1.0174409123823889E-3</v>
      </c>
      <c r="T235" s="7">
        <v>4.020004939502822E-2</v>
      </c>
      <c r="U235" s="7">
        <v>2.7756336193467832E-2</v>
      </c>
      <c r="V235" s="7">
        <v>5.4209706062040737E-3</v>
      </c>
      <c r="W235" s="7">
        <v>7.5744361629795603E-4</v>
      </c>
      <c r="X235" s="7">
        <v>1.296359047701773E-2</v>
      </c>
      <c r="Y235" s="7"/>
      <c r="Z235" s="14">
        <f>IFERROR(IF(INDEX('All GHED Countries'!$D$5:$AB$199,MATCH($B235,'All GHED Countries'!$B$5:$B$199,0),MATCH($D235,'All GHED Countries'!$D$4:$AB$4,0))="","",INDEX('All GHED Countries'!$D$5:$AB$199,MATCH($B235,'All GHED Countries'!$B$5:$B$199,0),MATCH($D235,'All GHED Countries'!$D$4:$AB$4,0))),"")</f>
        <v>7.3012633299999991E-2</v>
      </c>
    </row>
    <row r="236" spans="1:26" x14ac:dyDescent="0.2">
      <c r="A236" s="6" t="s">
        <v>104</v>
      </c>
      <c r="B236" s="6" t="s">
        <v>105</v>
      </c>
      <c r="C236" s="6"/>
      <c r="D236" s="6" t="s">
        <v>30</v>
      </c>
      <c r="E236" s="6" t="s">
        <v>453</v>
      </c>
      <c r="F236" s="7">
        <v>8.0987159277740653E-2</v>
      </c>
      <c r="G236" s="7">
        <v>2.7292469801897042E-2</v>
      </c>
      <c r="H236" s="7">
        <v>0.11582641244015469</v>
      </c>
      <c r="I236" s="7">
        <v>0</v>
      </c>
      <c r="J236" s="7">
        <v>0.16863201832269839</v>
      </c>
      <c r="K236" s="7">
        <v>7.6072794381772642E-3</v>
      </c>
      <c r="L236" s="7">
        <v>6.7156212824382597E-2</v>
      </c>
      <c r="M236" s="12">
        <f t="shared" si="6"/>
        <v>8.5025681771966968E-2</v>
      </c>
      <c r="N236" s="7">
        <v>2.3685114886881339E-2</v>
      </c>
      <c r="O236" s="7">
        <v>0.17192217814040131</v>
      </c>
      <c r="P236" s="7">
        <v>0.25186547309569968</v>
      </c>
      <c r="Q236" s="7"/>
      <c r="R236" s="13">
        <f t="shared" si="7"/>
        <v>1</v>
      </c>
      <c r="S236" s="7">
        <v>1.018323353254198E-3</v>
      </c>
      <c r="T236" s="7">
        <v>3.8207509405134461E-2</v>
      </c>
      <c r="U236" s="7">
        <v>2.8633084166989481E-2</v>
      </c>
      <c r="V236" s="7">
        <v>5.1458503947553261E-3</v>
      </c>
      <c r="W236" s="7">
        <v>4.3174061377568502E-4</v>
      </c>
      <c r="X236" s="7">
        <v>1.158917383805781E-2</v>
      </c>
      <c r="Y236" s="7"/>
      <c r="Z236" s="14" t="str">
        <f>IFERROR(IF(INDEX('All GHED Countries'!$D$5:$AB$199,MATCH($B236,'All GHED Countries'!$B$5:$B$199,0),MATCH($D236,'All GHED Countries'!$D$4:$AB$4,0))="","",INDEX('All GHED Countries'!$D$5:$AB$199,MATCH($B236,'All GHED Countries'!$B$5:$B$199,0),MATCH($D236,'All GHED Countries'!$D$4:$AB$4,0))),"")</f>
        <v/>
      </c>
    </row>
    <row r="237" spans="1:26" x14ac:dyDescent="0.2">
      <c r="A237" s="6" t="s">
        <v>110</v>
      </c>
      <c r="B237" s="6" t="s">
        <v>111</v>
      </c>
      <c r="C237" s="6" t="s">
        <v>49</v>
      </c>
      <c r="D237" s="6" t="s">
        <v>11</v>
      </c>
      <c r="E237" s="6" t="s">
        <v>452</v>
      </c>
      <c r="F237" s="7">
        <v>0.50899761387761777</v>
      </c>
      <c r="G237" s="7">
        <v>1.12202767537572E-2</v>
      </c>
      <c r="H237" s="7">
        <v>0.148921787207143</v>
      </c>
      <c r="I237" s="7">
        <v>9.0051020969543802E-2</v>
      </c>
      <c r="J237" s="7">
        <v>7.0295847999846797E-2</v>
      </c>
      <c r="K237" s="7">
        <v>9.1772820963120598E-4</v>
      </c>
      <c r="L237" s="7">
        <v>1.36695560473418E-2</v>
      </c>
      <c r="M237" s="12">
        <f t="shared" si="6"/>
        <v>5.3589417864147997E-2</v>
      </c>
      <c r="N237" s="7">
        <v>8.5375920549860887E-3</v>
      </c>
      <c r="O237" s="7">
        <v>8.9235221516719906E-2</v>
      </c>
      <c r="P237" s="7">
        <v>4.5637802464070102E-3</v>
      </c>
      <c r="Q237" s="7"/>
      <c r="R237" s="13">
        <f t="shared" si="7"/>
        <v>0.99999984274714249</v>
      </c>
      <c r="S237" s="7"/>
      <c r="T237" s="7"/>
      <c r="U237" s="7">
        <v>1.0556029013577099E-2</v>
      </c>
      <c r="V237" s="7"/>
      <c r="W237" s="7"/>
      <c r="X237" s="7"/>
      <c r="Y237" s="7">
        <v>4.3033388850570897E-2</v>
      </c>
      <c r="Z237" s="14">
        <f>IFERROR(IF(INDEX('All GHED Countries'!$D$5:$AB$199,MATCH($B237,'All GHED Countries'!$B$5:$B$199,0),MATCH($D237,'All GHED Countries'!$D$4:$AB$4,0))="","",INDEX('All GHED Countries'!$D$5:$AB$199,MATCH($B237,'All GHED Countries'!$B$5:$B$199,0),MATCH($D237,'All GHED Countries'!$D$4:$AB$4,0))),"")</f>
        <v>4.2549176199999997E-2</v>
      </c>
    </row>
    <row r="238" spans="1:26" x14ac:dyDescent="0.2">
      <c r="A238" s="6" t="s">
        <v>110</v>
      </c>
      <c r="B238" s="6" t="s">
        <v>111</v>
      </c>
      <c r="C238" s="6" t="s">
        <v>49</v>
      </c>
      <c r="D238" s="6" t="s">
        <v>12</v>
      </c>
      <c r="E238" s="6" t="s">
        <v>452</v>
      </c>
      <c r="F238" s="7">
        <v>0.40372827643556752</v>
      </c>
      <c r="G238" s="7">
        <v>1.8050515434000498E-2</v>
      </c>
      <c r="H238" s="7">
        <v>0.111744677653714</v>
      </c>
      <c r="I238" s="7">
        <v>0.14285487436164501</v>
      </c>
      <c r="J238" s="7">
        <v>9.6840479465423901E-2</v>
      </c>
      <c r="K238" s="7">
        <v>2.98383491180769E-3</v>
      </c>
      <c r="L238" s="7">
        <v>2.6531686869765699E-2</v>
      </c>
      <c r="M238" s="12">
        <f t="shared" si="6"/>
        <v>6.7952685866845594E-2</v>
      </c>
      <c r="N238" s="7">
        <v>8.1355860363750906E-3</v>
      </c>
      <c r="O238" s="7">
        <v>0.112045273734342</v>
      </c>
      <c r="P238" s="7">
        <v>9.1321092305137689E-3</v>
      </c>
      <c r="Q238" s="7"/>
      <c r="R238" s="13">
        <f t="shared" si="7"/>
        <v>1.0000000000000007</v>
      </c>
      <c r="S238" s="7"/>
      <c r="T238" s="7"/>
      <c r="U238" s="7">
        <v>2.71499626298158E-2</v>
      </c>
      <c r="V238" s="7"/>
      <c r="W238" s="7"/>
      <c r="X238" s="7"/>
      <c r="Y238" s="7">
        <v>4.0802723237029798E-2</v>
      </c>
      <c r="Z238" s="14">
        <f>IFERROR(IF(INDEX('All GHED Countries'!$D$5:$AB$199,MATCH($B238,'All GHED Countries'!$B$5:$B$199,0),MATCH($D238,'All GHED Countries'!$D$4:$AB$4,0))="","",INDEX('All GHED Countries'!$D$5:$AB$199,MATCH($B238,'All GHED Countries'!$B$5:$B$199,0),MATCH($D238,'All GHED Countries'!$D$4:$AB$4,0))),"")</f>
        <v>4.2549176199999997E-2</v>
      </c>
    </row>
    <row r="239" spans="1:26" x14ac:dyDescent="0.2">
      <c r="A239" s="6" t="s">
        <v>110</v>
      </c>
      <c r="B239" s="6" t="s">
        <v>111</v>
      </c>
      <c r="C239" s="6" t="s">
        <v>49</v>
      </c>
      <c r="D239" s="6" t="s">
        <v>13</v>
      </c>
      <c r="E239" s="6" t="s">
        <v>452</v>
      </c>
      <c r="F239" s="7">
        <v>0.49578336330380562</v>
      </c>
      <c r="G239" s="7">
        <v>1.0956578120989401E-2</v>
      </c>
      <c r="H239" s="7">
        <v>4.1764675135446287E-2</v>
      </c>
      <c r="I239" s="7">
        <v>0.129051606587233</v>
      </c>
      <c r="J239" s="7">
        <v>0.14295955136404101</v>
      </c>
      <c r="K239" s="7">
        <v>4.7695733390705697E-4</v>
      </c>
      <c r="L239" s="7">
        <v>2.6845395222351E-2</v>
      </c>
      <c r="M239" s="12">
        <f t="shared" si="6"/>
        <v>6.7702601459510001E-2</v>
      </c>
      <c r="N239" s="7">
        <v>1.09742933778261E-2</v>
      </c>
      <c r="O239" s="7">
        <v>6.6720426739123206E-2</v>
      </c>
      <c r="P239" s="7">
        <v>6.7645513557670796E-3</v>
      </c>
      <c r="Q239" s="7"/>
      <c r="R239" s="13">
        <f t="shared" si="7"/>
        <v>0.99999999999999978</v>
      </c>
      <c r="S239" s="7"/>
      <c r="T239" s="7"/>
      <c r="U239" s="7">
        <v>1.94950155723921E-2</v>
      </c>
      <c r="V239" s="7"/>
      <c r="W239" s="7"/>
      <c r="X239" s="7"/>
      <c r="Y239" s="7">
        <v>4.8207585887117897E-2</v>
      </c>
      <c r="Z239" s="14">
        <f>IFERROR(IF(INDEX('All GHED Countries'!$D$5:$AB$199,MATCH($B239,'All GHED Countries'!$B$5:$B$199,0),MATCH($D239,'All GHED Countries'!$D$4:$AB$4,0))="","",INDEX('All GHED Countries'!$D$5:$AB$199,MATCH($B239,'All GHED Countries'!$B$5:$B$199,0),MATCH($D239,'All GHED Countries'!$D$4:$AB$4,0))),"")</f>
        <v>4.2549176199999997E-2</v>
      </c>
    </row>
    <row r="240" spans="1:26" x14ac:dyDescent="0.2">
      <c r="A240" s="6" t="s">
        <v>110</v>
      </c>
      <c r="B240" s="6" t="s">
        <v>111</v>
      </c>
      <c r="C240" s="6" t="s">
        <v>49</v>
      </c>
      <c r="D240" s="6" t="s">
        <v>14</v>
      </c>
      <c r="E240" s="6" t="s">
        <v>452</v>
      </c>
      <c r="F240" s="7">
        <v>0.52093053872419803</v>
      </c>
      <c r="G240" s="7">
        <v>2.2010469297758E-2</v>
      </c>
      <c r="H240" s="7">
        <v>3.7208932374927402E-2</v>
      </c>
      <c r="I240" s="7">
        <v>0.113580043674221</v>
      </c>
      <c r="J240" s="7">
        <v>0.111421722832641</v>
      </c>
      <c r="K240" s="7">
        <v>3.9672010120741499E-3</v>
      </c>
      <c r="L240" s="7">
        <v>3.97350930857071E-2</v>
      </c>
      <c r="M240" s="12">
        <f t="shared" si="6"/>
        <v>6.4318155853192602E-2</v>
      </c>
      <c r="N240" s="7">
        <v>1.32077274783716E-2</v>
      </c>
      <c r="O240" s="7">
        <v>6.7783247071502795E-2</v>
      </c>
      <c r="P240" s="7">
        <v>5.8368685954064614E-3</v>
      </c>
      <c r="Q240" s="7"/>
      <c r="R240" s="13">
        <f t="shared" si="7"/>
        <v>1</v>
      </c>
      <c r="S240" s="7"/>
      <c r="T240" s="7"/>
      <c r="U240" s="7">
        <v>1.6843106927250402E-2</v>
      </c>
      <c r="V240" s="7"/>
      <c r="W240" s="7"/>
      <c r="X240" s="7"/>
      <c r="Y240" s="7">
        <v>4.7475048925942197E-2</v>
      </c>
      <c r="Z240" s="14">
        <f>IFERROR(IF(INDEX('All GHED Countries'!$D$5:$AB$199,MATCH($B240,'All GHED Countries'!$B$5:$B$199,0),MATCH($D240,'All GHED Countries'!$D$4:$AB$4,0))="","",INDEX('All GHED Countries'!$D$5:$AB$199,MATCH($B240,'All GHED Countries'!$B$5:$B$199,0),MATCH($D240,'All GHED Countries'!$D$4:$AB$4,0))),"")</f>
        <v>4.2549176199999997E-2</v>
      </c>
    </row>
    <row r="241" spans="1:26" x14ac:dyDescent="0.2">
      <c r="A241" s="6" t="s">
        <v>110</v>
      </c>
      <c r="B241" s="6" t="s">
        <v>111</v>
      </c>
      <c r="C241" s="6" t="s">
        <v>49</v>
      </c>
      <c r="D241" s="6" t="s">
        <v>17</v>
      </c>
      <c r="E241" s="6" t="s">
        <v>452</v>
      </c>
      <c r="F241" s="7">
        <v>0.37053041464305259</v>
      </c>
      <c r="G241" s="7">
        <v>4.5877990869098398E-2</v>
      </c>
      <c r="H241" s="7"/>
      <c r="I241" s="7"/>
      <c r="J241" s="7">
        <v>0.137763080475306</v>
      </c>
      <c r="K241" s="7"/>
      <c r="L241" s="7"/>
      <c r="M241" s="12">
        <f t="shared" si="6"/>
        <v>8.8116385436091793E-2</v>
      </c>
      <c r="N241" s="7"/>
      <c r="O241" s="7">
        <v>8.9675967479208488E-2</v>
      </c>
      <c r="P241" s="7"/>
      <c r="Q241" s="7">
        <v>0.26803616109724271</v>
      </c>
      <c r="R241" s="13">
        <f t="shared" si="7"/>
        <v>0.99999999999999989</v>
      </c>
      <c r="S241" s="7"/>
      <c r="T241" s="7"/>
      <c r="U241" s="7"/>
      <c r="V241" s="7"/>
      <c r="W241" s="7"/>
      <c r="X241" s="7"/>
      <c r="Y241" s="7">
        <v>8.8116385436091793E-2</v>
      </c>
      <c r="Z241" s="14">
        <f>IFERROR(IF(INDEX('All GHED Countries'!$D$5:$AB$199,MATCH($B241,'All GHED Countries'!$B$5:$B$199,0),MATCH($D241,'All GHED Countries'!$D$4:$AB$4,0))="","",INDEX('All GHED Countries'!$D$5:$AB$199,MATCH($B241,'All GHED Countries'!$B$5:$B$199,0),MATCH($D241,'All GHED Countries'!$D$4:$AB$4,0))),"")</f>
        <v>5.0466022499999992E-2</v>
      </c>
    </row>
    <row r="242" spans="1:26" x14ac:dyDescent="0.2">
      <c r="A242" s="6" t="s">
        <v>110</v>
      </c>
      <c r="B242" s="6" t="s">
        <v>111</v>
      </c>
      <c r="C242" s="6" t="s">
        <v>49</v>
      </c>
      <c r="D242" s="6" t="s">
        <v>18</v>
      </c>
      <c r="E242" s="6" t="s">
        <v>452</v>
      </c>
      <c r="F242" s="7">
        <v>0.35413264360139379</v>
      </c>
      <c r="G242" s="7">
        <v>6.9757623259602396E-3</v>
      </c>
      <c r="H242" s="7"/>
      <c r="I242" s="7"/>
      <c r="J242" s="7">
        <v>0.14214931010413201</v>
      </c>
      <c r="K242" s="7"/>
      <c r="L242" s="7"/>
      <c r="M242" s="12">
        <f t="shared" si="6"/>
        <v>0.10118409105395</v>
      </c>
      <c r="N242" s="7"/>
      <c r="O242" s="7">
        <v>0.14460722324714201</v>
      </c>
      <c r="P242" s="7"/>
      <c r="Q242" s="7">
        <v>0.25095096966742197</v>
      </c>
      <c r="R242" s="13">
        <f t="shared" si="7"/>
        <v>1</v>
      </c>
      <c r="S242" s="7"/>
      <c r="T242" s="7"/>
      <c r="U242" s="7"/>
      <c r="V242" s="7"/>
      <c r="W242" s="7"/>
      <c r="X242" s="7"/>
      <c r="Y242" s="7">
        <v>0.10118409105395</v>
      </c>
      <c r="Z242" s="14">
        <f>IFERROR(IF(INDEX('All GHED Countries'!$D$5:$AB$199,MATCH($B242,'All GHED Countries'!$B$5:$B$199,0),MATCH($D242,'All GHED Countries'!$D$4:$AB$4,0))="","",INDEX('All GHED Countries'!$D$5:$AB$199,MATCH($B242,'All GHED Countries'!$B$5:$B$199,0),MATCH($D242,'All GHED Countries'!$D$4:$AB$4,0))),"")</f>
        <v>5.0466022499999992E-2</v>
      </c>
    </row>
    <row r="243" spans="1:26" x14ac:dyDescent="0.2">
      <c r="A243" s="6" t="s">
        <v>110</v>
      </c>
      <c r="B243" s="6" t="s">
        <v>111</v>
      </c>
      <c r="C243" s="6" t="s">
        <v>49</v>
      </c>
      <c r="D243" s="6" t="s">
        <v>19</v>
      </c>
      <c r="E243" s="6" t="s">
        <v>452</v>
      </c>
      <c r="F243" s="7">
        <v>0.31419372559599301</v>
      </c>
      <c r="G243" s="7"/>
      <c r="H243" s="7">
        <v>2.7631715052891401E-2</v>
      </c>
      <c r="I243" s="7">
        <v>0.116976372698955</v>
      </c>
      <c r="J243" s="7"/>
      <c r="K243" s="7">
        <v>1.0548624837287499E-2</v>
      </c>
      <c r="L243" s="7">
        <v>2.60774079855585E-2</v>
      </c>
      <c r="M243" s="12">
        <f t="shared" si="6"/>
        <v>0.102098902198518</v>
      </c>
      <c r="N243" s="7"/>
      <c r="O243" s="7">
        <v>0.13243213980940999</v>
      </c>
      <c r="P243" s="7">
        <v>1.56993890665083E-2</v>
      </c>
      <c r="Q243" s="7">
        <v>0.25434172275487832</v>
      </c>
      <c r="R243" s="13">
        <f t="shared" si="7"/>
        <v>1</v>
      </c>
      <c r="S243" s="7">
        <v>0</v>
      </c>
      <c r="T243" s="7">
        <v>0</v>
      </c>
      <c r="U243" s="7">
        <v>0</v>
      </c>
      <c r="V243" s="7">
        <v>0.102098902198518</v>
      </c>
      <c r="W243" s="7">
        <v>0</v>
      </c>
      <c r="X243" s="7">
        <v>0</v>
      </c>
      <c r="Y243" s="7"/>
      <c r="Z243" s="14">
        <f>IFERROR(IF(INDEX('All GHED Countries'!$D$5:$AB$199,MATCH($B243,'All GHED Countries'!$B$5:$B$199,0),MATCH($D243,'All GHED Countries'!$D$4:$AB$4,0))="","",INDEX('All GHED Countries'!$D$5:$AB$199,MATCH($B243,'All GHED Countries'!$B$5:$B$199,0),MATCH($D243,'All GHED Countries'!$D$4:$AB$4,0))),"")</f>
        <v>1.1572529099999999E-2</v>
      </c>
    </row>
    <row r="244" spans="1:26" x14ac:dyDescent="0.2">
      <c r="A244" s="6" t="s">
        <v>114</v>
      </c>
      <c r="B244" s="6" t="s">
        <v>115</v>
      </c>
      <c r="C244" s="6" t="s">
        <v>49</v>
      </c>
      <c r="D244" s="6" t="s">
        <v>11</v>
      </c>
      <c r="E244" s="6" t="s">
        <v>452</v>
      </c>
      <c r="F244" s="7">
        <v>0.2330795654999534</v>
      </c>
      <c r="G244" s="7">
        <v>0.1237582397177607</v>
      </c>
      <c r="H244" s="7">
        <v>4.2335901958963883E-2</v>
      </c>
      <c r="I244" s="7">
        <v>1.411196731965463E-2</v>
      </c>
      <c r="J244" s="7">
        <v>0.32722124222449173</v>
      </c>
      <c r="K244" s="7">
        <v>1.2533655185219569E-3</v>
      </c>
      <c r="L244" s="7">
        <v>0</v>
      </c>
      <c r="M244" s="12">
        <f t="shared" si="6"/>
        <v>5.1759353820443783E-2</v>
      </c>
      <c r="N244" s="7"/>
      <c r="O244" s="7">
        <v>0.19858880326803449</v>
      </c>
      <c r="P244" s="7">
        <v>7.8915606721752848E-3</v>
      </c>
      <c r="Q244" s="7"/>
      <c r="R244" s="13">
        <f t="shared" si="7"/>
        <v>1</v>
      </c>
      <c r="S244" s="7"/>
      <c r="T244" s="7"/>
      <c r="U244" s="7"/>
      <c r="V244" s="7"/>
      <c r="W244" s="7"/>
      <c r="X244" s="7"/>
      <c r="Y244" s="7">
        <v>5.1759353820443783E-2</v>
      </c>
      <c r="Z244" s="14">
        <f>IFERROR(IF(INDEX('All GHED Countries'!$D$5:$AB$199,MATCH($B244,'All GHED Countries'!$B$5:$B$199,0),MATCH($D244,'All GHED Countries'!$D$4:$AB$4,0))="","",INDEX('All GHED Countries'!$D$5:$AB$199,MATCH($B244,'All GHED Countries'!$B$5:$B$199,0),MATCH($D244,'All GHED Countries'!$D$4:$AB$4,0))),"")</f>
        <v>0.1054040527</v>
      </c>
    </row>
    <row r="245" spans="1:26" x14ac:dyDescent="0.2">
      <c r="A245" s="6" t="s">
        <v>114</v>
      </c>
      <c r="B245" s="6" t="s">
        <v>115</v>
      </c>
      <c r="C245" s="6" t="s">
        <v>49</v>
      </c>
      <c r="D245" s="6" t="s">
        <v>12</v>
      </c>
      <c r="E245" s="6" t="s">
        <v>452</v>
      </c>
      <c r="F245" s="7">
        <v>0.2624308323337074</v>
      </c>
      <c r="G245" s="7">
        <v>0.11020392369306969</v>
      </c>
      <c r="H245" s="7">
        <v>4.4692953604457693E-2</v>
      </c>
      <c r="I245" s="7">
        <v>3.0066168788453349E-2</v>
      </c>
      <c r="J245" s="7">
        <v>0.34013078976898969</v>
      </c>
      <c r="K245" s="7">
        <v>0</v>
      </c>
      <c r="L245" s="7">
        <v>0</v>
      </c>
      <c r="M245" s="12">
        <f t="shared" si="6"/>
        <v>5.6959331346979843E-2</v>
      </c>
      <c r="N245" s="7">
        <v>0</v>
      </c>
      <c r="O245" s="7">
        <v>0.1480865224625624</v>
      </c>
      <c r="P245" s="7">
        <v>7.4294780017799787E-3</v>
      </c>
      <c r="Q245" s="7"/>
      <c r="R245" s="13">
        <f t="shared" si="7"/>
        <v>1</v>
      </c>
      <c r="S245" s="7"/>
      <c r="T245" s="7"/>
      <c r="U245" s="7"/>
      <c r="V245" s="7"/>
      <c r="W245" s="7"/>
      <c r="X245" s="7"/>
      <c r="Y245" s="7">
        <v>5.6959331346979843E-2</v>
      </c>
      <c r="Z245" s="14">
        <f>IFERROR(IF(INDEX('All GHED Countries'!$D$5:$AB$199,MATCH($B245,'All GHED Countries'!$B$5:$B$199,0),MATCH($D245,'All GHED Countries'!$D$4:$AB$4,0))="","",INDEX('All GHED Countries'!$D$5:$AB$199,MATCH($B245,'All GHED Countries'!$B$5:$B$199,0),MATCH($D245,'All GHED Countries'!$D$4:$AB$4,0))),"")</f>
        <v>0.1024768925</v>
      </c>
    </row>
    <row r="246" spans="1:26" x14ac:dyDescent="0.2">
      <c r="A246" s="6" t="s">
        <v>114</v>
      </c>
      <c r="B246" s="6" t="s">
        <v>115</v>
      </c>
      <c r="C246" s="6" t="s">
        <v>49</v>
      </c>
      <c r="D246" s="6" t="s">
        <v>13</v>
      </c>
      <c r="E246" s="6" t="s">
        <v>452</v>
      </c>
      <c r="F246" s="7">
        <v>0.34081739721288978</v>
      </c>
      <c r="G246" s="7">
        <v>5.9974715861598228E-2</v>
      </c>
      <c r="H246" s="7">
        <v>5.6161294621843431E-2</v>
      </c>
      <c r="I246" s="7">
        <v>4.2795060579470537E-2</v>
      </c>
      <c r="J246" s="7">
        <v>0.2378188154974358</v>
      </c>
      <c r="K246" s="7">
        <v>1.386698632638109E-3</v>
      </c>
      <c r="L246" s="7">
        <v>0</v>
      </c>
      <c r="M246" s="12">
        <f t="shared" si="6"/>
        <v>6.9334931631905461E-2</v>
      </c>
      <c r="N246" s="7">
        <v>1.502256852024619E-3</v>
      </c>
      <c r="O246" s="7">
        <v>0.17580257109334249</v>
      </c>
      <c r="P246" s="7">
        <v>1.440625801685147E-2</v>
      </c>
      <c r="Q246" s="7"/>
      <c r="R246" s="13">
        <f t="shared" si="7"/>
        <v>1</v>
      </c>
      <c r="S246" s="7"/>
      <c r="T246" s="7"/>
      <c r="U246" s="7"/>
      <c r="V246" s="7"/>
      <c r="W246" s="7"/>
      <c r="X246" s="7"/>
      <c r="Y246" s="7">
        <v>6.9334931631905461E-2</v>
      </c>
      <c r="Z246" s="14">
        <f>IFERROR(IF(INDEX('All GHED Countries'!$D$5:$AB$199,MATCH($B246,'All GHED Countries'!$B$5:$B$199,0),MATCH($D246,'All GHED Countries'!$D$4:$AB$4,0))="","",INDEX('All GHED Countries'!$D$5:$AB$199,MATCH($B246,'All GHED Countries'!$B$5:$B$199,0),MATCH($D246,'All GHED Countries'!$D$4:$AB$4,0))),"")</f>
        <v>0.1183832264</v>
      </c>
    </row>
    <row r="247" spans="1:26" x14ac:dyDescent="0.2">
      <c r="A247" s="6" t="s">
        <v>114</v>
      </c>
      <c r="B247" s="6" t="s">
        <v>115</v>
      </c>
      <c r="C247" s="6" t="s">
        <v>49</v>
      </c>
      <c r="D247" s="6" t="s">
        <v>14</v>
      </c>
      <c r="E247" s="6" t="s">
        <v>452</v>
      </c>
      <c r="F247" s="7">
        <v>0.41732915774523849</v>
      </c>
      <c r="G247" s="7">
        <v>3.568104120249313E-2</v>
      </c>
      <c r="H247" s="7">
        <v>4.6550164656933672E-2</v>
      </c>
      <c r="I247" s="7">
        <v>3.7602435840694941E-2</v>
      </c>
      <c r="J247" s="7">
        <v>0.22963006356158461</v>
      </c>
      <c r="K247" s="7">
        <v>1.3642322367696349E-2</v>
      </c>
      <c r="L247" s="7">
        <v>0</v>
      </c>
      <c r="M247" s="12">
        <f t="shared" si="6"/>
        <v>5.5383815046075632E-2</v>
      </c>
      <c r="N247" s="7">
        <v>3.387036149968005E-3</v>
      </c>
      <c r="O247" s="7">
        <v>0.147268802689448</v>
      </c>
      <c r="P247" s="7">
        <v>1.3525160739867269E-2</v>
      </c>
      <c r="Q247" s="7"/>
      <c r="R247" s="13">
        <f t="shared" si="7"/>
        <v>1.0000000000000002</v>
      </c>
      <c r="S247" s="7"/>
      <c r="T247" s="7"/>
      <c r="U247" s="7"/>
      <c r="V247" s="7"/>
      <c r="W247" s="7"/>
      <c r="X247" s="7"/>
      <c r="Y247" s="7">
        <v>5.5383815046075632E-2</v>
      </c>
      <c r="Z247" s="14">
        <f>IFERROR(IF(INDEX('All GHED Countries'!$D$5:$AB$199,MATCH($B247,'All GHED Countries'!$B$5:$B$199,0),MATCH($D247,'All GHED Countries'!$D$4:$AB$4,0))="","",INDEX('All GHED Countries'!$D$5:$AB$199,MATCH($B247,'All GHED Countries'!$B$5:$B$199,0),MATCH($D247,'All GHED Countries'!$D$4:$AB$4,0))),"")</f>
        <v>8.9767837499999989E-2</v>
      </c>
    </row>
    <row r="248" spans="1:26" x14ac:dyDescent="0.2">
      <c r="A248" s="6" t="s">
        <v>114</v>
      </c>
      <c r="B248" s="6" t="s">
        <v>115</v>
      </c>
      <c r="C248" s="6" t="s">
        <v>49</v>
      </c>
      <c r="D248" s="6" t="s">
        <v>15</v>
      </c>
      <c r="E248" s="6" t="s">
        <v>452</v>
      </c>
      <c r="F248" s="7">
        <v>0.25186986143047391</v>
      </c>
      <c r="G248" s="7">
        <v>8.3472064746861141E-2</v>
      </c>
      <c r="H248" s="7">
        <v>6.8089511582921564E-2</v>
      </c>
      <c r="I248" s="7">
        <v>0.136507735184972</v>
      </c>
      <c r="J248" s="7">
        <v>8.880391661540124E-2</v>
      </c>
      <c r="K248" s="7">
        <v>4.455483538173541E-3</v>
      </c>
      <c r="L248" s="7">
        <v>1.378251817754729E-3</v>
      </c>
      <c r="M248" s="12">
        <f t="shared" si="6"/>
        <v>7.2091223120143058E-2</v>
      </c>
      <c r="N248" s="7">
        <v>6.0006184203433401E-3</v>
      </c>
      <c r="O248" s="7">
        <v>0.28344200773559419</v>
      </c>
      <c r="P248" s="7">
        <v>3.889325807361219E-3</v>
      </c>
      <c r="Q248" s="7"/>
      <c r="R248" s="13">
        <f t="shared" si="7"/>
        <v>0.99999999999999989</v>
      </c>
      <c r="S248" s="7"/>
      <c r="T248" s="7"/>
      <c r="U248" s="7"/>
      <c r="V248" s="7"/>
      <c r="W248" s="7"/>
      <c r="X248" s="7"/>
      <c r="Y248" s="7">
        <v>7.2091223120143058E-2</v>
      </c>
      <c r="Z248" s="14">
        <f>IFERROR(IF(INDEX('All GHED Countries'!$D$5:$AB$199,MATCH($B248,'All GHED Countries'!$B$5:$B$199,0),MATCH($D248,'All GHED Countries'!$D$4:$AB$4,0))="","",INDEX('All GHED Countries'!$D$5:$AB$199,MATCH($B248,'All GHED Countries'!$B$5:$B$199,0),MATCH($D248,'All GHED Countries'!$D$4:$AB$4,0))),"")</f>
        <v>0.10439493179999999</v>
      </c>
    </row>
    <row r="249" spans="1:26" x14ac:dyDescent="0.2">
      <c r="A249" s="6" t="s">
        <v>114</v>
      </c>
      <c r="B249" s="6" t="s">
        <v>115</v>
      </c>
      <c r="C249" s="6" t="s">
        <v>49</v>
      </c>
      <c r="D249" s="6" t="s">
        <v>16</v>
      </c>
      <c r="E249" s="6" t="s">
        <v>452</v>
      </c>
      <c r="F249" s="7">
        <v>0.30784846524830889</v>
      </c>
      <c r="G249" s="7">
        <v>5.472986974541149E-2</v>
      </c>
      <c r="H249" s="7">
        <v>7.3952275754884556E-2</v>
      </c>
      <c r="I249" s="7">
        <v>3.0828611604499699E-2</v>
      </c>
      <c r="J249" s="7">
        <v>0.1094854411230758</v>
      </c>
      <c r="K249" s="7">
        <v>8.9185088047661343E-3</v>
      </c>
      <c r="L249" s="7">
        <v>4.92139325259029E-2</v>
      </c>
      <c r="M249" s="12">
        <f t="shared" si="6"/>
        <v>6.0086190710109531E-2</v>
      </c>
      <c r="N249" s="7">
        <v>6.3723949082297206E-3</v>
      </c>
      <c r="O249" s="7">
        <v>0.1808377682034488</v>
      </c>
      <c r="P249" s="7">
        <v>0.1177296144168147</v>
      </c>
      <c r="Q249" s="7"/>
      <c r="R249" s="13">
        <f t="shared" si="7"/>
        <v>1.0000030730454523</v>
      </c>
      <c r="S249" s="7"/>
      <c r="T249" s="7"/>
      <c r="U249" s="7"/>
      <c r="V249" s="7"/>
      <c r="W249" s="7"/>
      <c r="X249" s="7"/>
      <c r="Y249" s="7">
        <v>6.0086190710109531E-2</v>
      </c>
      <c r="Z249" s="14">
        <f>IFERROR(IF(INDEX('All GHED Countries'!$D$5:$AB$199,MATCH($B249,'All GHED Countries'!$B$5:$B$199,0),MATCH($D249,'All GHED Countries'!$D$4:$AB$4,0))="","",INDEX('All GHED Countries'!$D$5:$AB$199,MATCH($B249,'All GHED Countries'!$B$5:$B$199,0),MATCH($D249,'All GHED Countries'!$D$4:$AB$4,0))),"")</f>
        <v>0.15209796910000001</v>
      </c>
    </row>
    <row r="250" spans="1:26" x14ac:dyDescent="0.2">
      <c r="A250" s="6" t="s">
        <v>114</v>
      </c>
      <c r="B250" s="6" t="s">
        <v>115</v>
      </c>
      <c r="C250" s="6" t="s">
        <v>49</v>
      </c>
      <c r="D250" s="6" t="s">
        <v>17</v>
      </c>
      <c r="E250" s="6" t="s">
        <v>452</v>
      </c>
      <c r="F250" s="7">
        <v>0.2196218785171038</v>
      </c>
      <c r="G250" s="7">
        <v>4.8855086797858202E-2</v>
      </c>
      <c r="H250" s="7">
        <v>8.8735582006070735E-2</v>
      </c>
      <c r="I250" s="7">
        <v>4.6458725827904911E-2</v>
      </c>
      <c r="J250" s="7">
        <v>0.11550671873401321</v>
      </c>
      <c r="K250" s="7">
        <v>1.4057525323147231E-2</v>
      </c>
      <c r="L250" s="7">
        <v>6.6229241840319239E-2</v>
      </c>
      <c r="M250" s="12">
        <f t="shared" si="6"/>
        <v>6.7462801405136247E-2</v>
      </c>
      <c r="N250" s="7">
        <v>8.3630674260768735E-3</v>
      </c>
      <c r="O250" s="7">
        <v>0.20441694007707789</v>
      </c>
      <c r="P250" s="7">
        <v>0.1202780055250503</v>
      </c>
      <c r="Q250" s="7"/>
      <c r="R250" s="13">
        <f t="shared" si="7"/>
        <v>0.99998557347975858</v>
      </c>
      <c r="S250" s="7"/>
      <c r="T250" s="7"/>
      <c r="U250" s="7"/>
      <c r="V250" s="7"/>
      <c r="W250" s="7"/>
      <c r="X250" s="7"/>
      <c r="Y250" s="7">
        <v>6.7462801405136247E-2</v>
      </c>
      <c r="Z250" s="14">
        <f>IFERROR(IF(INDEX('All GHED Countries'!$D$5:$AB$199,MATCH($B250,'All GHED Countries'!$B$5:$B$199,0),MATCH($D250,'All GHED Countries'!$D$4:$AB$4,0))="","",INDEX('All GHED Countries'!$D$5:$AB$199,MATCH($B250,'All GHED Countries'!$B$5:$B$199,0),MATCH($D250,'All GHED Countries'!$D$4:$AB$4,0))),"")</f>
        <v>0.13936785700000001</v>
      </c>
    </row>
    <row r="251" spans="1:26" x14ac:dyDescent="0.2">
      <c r="A251" s="6" t="s">
        <v>114</v>
      </c>
      <c r="B251" s="6" t="s">
        <v>115</v>
      </c>
      <c r="C251" s="6" t="s">
        <v>49</v>
      </c>
      <c r="D251" s="6" t="s">
        <v>18</v>
      </c>
      <c r="E251" s="6" t="s">
        <v>452</v>
      </c>
      <c r="F251" s="7">
        <v>0.23750850498103299</v>
      </c>
      <c r="G251" s="7">
        <v>5.1056475342999959E-2</v>
      </c>
      <c r="H251" s="7">
        <v>8.9370776757542458E-2</v>
      </c>
      <c r="I251" s="7">
        <v>5.3522427057113478E-2</v>
      </c>
      <c r="J251" s="7">
        <v>9.194552416066934E-2</v>
      </c>
      <c r="K251" s="7">
        <v>9.5293898677633205E-3</v>
      </c>
      <c r="L251" s="7">
        <v>5.8489686957138298E-2</v>
      </c>
      <c r="M251" s="12">
        <f t="shared" si="6"/>
        <v>6.4809313291027057E-2</v>
      </c>
      <c r="N251" s="7">
        <v>6.6953876697273731E-3</v>
      </c>
      <c r="O251" s="7">
        <v>0.20292809586272911</v>
      </c>
      <c r="P251" s="7">
        <v>0.1341400928847449</v>
      </c>
      <c r="Q251" s="7"/>
      <c r="R251" s="13">
        <f t="shared" si="7"/>
        <v>0.99999567483248819</v>
      </c>
      <c r="S251" s="7"/>
      <c r="T251" s="7"/>
      <c r="U251" s="7"/>
      <c r="V251" s="7"/>
      <c r="W251" s="7"/>
      <c r="X251" s="7"/>
      <c r="Y251" s="7">
        <v>6.4809313291027057E-2</v>
      </c>
      <c r="Z251" s="14">
        <f>IFERROR(IF(INDEX('All GHED Countries'!$D$5:$AB$199,MATCH($B251,'All GHED Countries'!$B$5:$B$199,0),MATCH($D251,'All GHED Countries'!$D$4:$AB$4,0))="","",INDEX('All GHED Countries'!$D$5:$AB$199,MATCH($B251,'All GHED Countries'!$B$5:$B$199,0),MATCH($D251,'All GHED Countries'!$D$4:$AB$4,0))),"")</f>
        <v>0.12936995509999999</v>
      </c>
    </row>
    <row r="252" spans="1:26" x14ac:dyDescent="0.2">
      <c r="A252" s="6" t="s">
        <v>114</v>
      </c>
      <c r="B252" s="6" t="s">
        <v>115</v>
      </c>
      <c r="C252" s="6" t="s">
        <v>49</v>
      </c>
      <c r="D252" s="6" t="s">
        <v>19</v>
      </c>
      <c r="E252" s="6" t="s">
        <v>452</v>
      </c>
      <c r="F252" s="7">
        <v>0.2486724492263056</v>
      </c>
      <c r="G252" s="7">
        <v>3.7464035299806582E-2</v>
      </c>
      <c r="H252" s="7">
        <v>8.561291102514508E-2</v>
      </c>
      <c r="I252" s="7">
        <v>4.8357410541586071E-2</v>
      </c>
      <c r="J252" s="7">
        <v>8.754633099613153E-2</v>
      </c>
      <c r="K252" s="7">
        <v>2.0282277562862671E-2</v>
      </c>
      <c r="L252" s="7">
        <v>4.5258704061895548E-2</v>
      </c>
      <c r="M252" s="12">
        <f t="shared" si="6"/>
        <v>0.120697836073501</v>
      </c>
      <c r="N252" s="7">
        <v>5.3789893617021281E-3</v>
      </c>
      <c r="O252" s="7">
        <v>0.18027895309477759</v>
      </c>
      <c r="P252" s="7">
        <v>0.12044142891682789</v>
      </c>
      <c r="Q252" s="7"/>
      <c r="R252" s="13">
        <f t="shared" si="7"/>
        <v>0.99999132616054176</v>
      </c>
      <c r="S252" s="7"/>
      <c r="T252" s="7"/>
      <c r="U252" s="7"/>
      <c r="V252" s="7"/>
      <c r="W252" s="7"/>
      <c r="X252" s="7"/>
      <c r="Y252" s="7">
        <v>0.120697836073501</v>
      </c>
      <c r="Z252" s="14">
        <f>IFERROR(IF(INDEX('All GHED Countries'!$D$5:$AB$199,MATCH($B252,'All GHED Countries'!$B$5:$B$199,0),MATCH($D252,'All GHED Countries'!$D$4:$AB$4,0))="","",INDEX('All GHED Countries'!$D$5:$AB$199,MATCH($B252,'All GHED Countries'!$B$5:$B$199,0),MATCH($D252,'All GHED Countries'!$D$4:$AB$4,0))),"")</f>
        <v>0.1026806545</v>
      </c>
    </row>
    <row r="253" spans="1:26" x14ac:dyDescent="0.2">
      <c r="A253" s="6" t="s">
        <v>114</v>
      </c>
      <c r="B253" s="6" t="s">
        <v>115</v>
      </c>
      <c r="C253" s="6" t="s">
        <v>49</v>
      </c>
      <c r="D253" s="6" t="s">
        <v>20</v>
      </c>
      <c r="E253" s="6" t="s">
        <v>452</v>
      </c>
      <c r="F253" s="7">
        <v>0.25954259394244072</v>
      </c>
      <c r="G253" s="7">
        <v>3.578811109714717E-2</v>
      </c>
      <c r="H253" s="7">
        <v>7.6665401533241168E-2</v>
      </c>
      <c r="I253" s="7">
        <v>4.274719366595451E-2</v>
      </c>
      <c r="J253" s="7">
        <v>0.1058033907251477</v>
      </c>
      <c r="K253" s="7">
        <v>2.0474947844665071E-2</v>
      </c>
      <c r="L253" s="7">
        <v>3.2484184994344599E-2</v>
      </c>
      <c r="M253" s="12">
        <f t="shared" si="6"/>
        <v>0.1054102274726656</v>
      </c>
      <c r="N253" s="7">
        <v>5.0360839512379038E-3</v>
      </c>
      <c r="O253" s="7">
        <v>0.18030464245318589</v>
      </c>
      <c r="P253" s="7">
        <v>0.13575272338821159</v>
      </c>
      <c r="Q253" s="7"/>
      <c r="R253" s="13">
        <f t="shared" si="7"/>
        <v>1.0000095010682419</v>
      </c>
      <c r="S253" s="7"/>
      <c r="T253" s="7"/>
      <c r="U253" s="7"/>
      <c r="V253" s="7"/>
      <c r="W253" s="7"/>
      <c r="X253" s="7"/>
      <c r="Y253" s="7">
        <v>0.1054102274726656</v>
      </c>
      <c r="Z253" s="14">
        <f>IFERROR(IF(INDEX('All GHED Countries'!$D$5:$AB$199,MATCH($B253,'All GHED Countries'!$B$5:$B$199,0),MATCH($D253,'All GHED Countries'!$D$4:$AB$4,0))="","",INDEX('All GHED Countries'!$D$5:$AB$199,MATCH($B253,'All GHED Countries'!$B$5:$B$199,0),MATCH($D253,'All GHED Countries'!$D$4:$AB$4,0))),"")</f>
        <v>0.1392414951</v>
      </c>
    </row>
    <row r="254" spans="1:26" x14ac:dyDescent="0.2">
      <c r="A254" s="6" t="s">
        <v>114</v>
      </c>
      <c r="B254" s="6" t="s">
        <v>115</v>
      </c>
      <c r="C254" s="6" t="s">
        <v>49</v>
      </c>
      <c r="D254" s="6" t="s">
        <v>21</v>
      </c>
      <c r="E254" s="6" t="s">
        <v>452</v>
      </c>
      <c r="F254" s="7">
        <v>0.27201849345772972</v>
      </c>
      <c r="G254" s="7">
        <v>5.530355646030416E-2</v>
      </c>
      <c r="H254" s="7">
        <v>7.6814424408133158E-2</v>
      </c>
      <c r="I254" s="7">
        <v>4.2844617077140462E-2</v>
      </c>
      <c r="J254" s="7">
        <v>8.6529991808087653E-2</v>
      </c>
      <c r="K254" s="7">
        <v>2.8331147293658241E-2</v>
      </c>
      <c r="L254" s="7">
        <v>1.702379933451563E-2</v>
      </c>
      <c r="M254" s="12">
        <f t="shared" si="6"/>
        <v>0.10085230308384144</v>
      </c>
      <c r="N254" s="7">
        <v>4.6555687714046222E-3</v>
      </c>
      <c r="O254" s="7">
        <v>0.1877635129395521</v>
      </c>
      <c r="P254" s="7">
        <v>0.1278654301302096</v>
      </c>
      <c r="Q254" s="7"/>
      <c r="R254" s="13">
        <f t="shared" si="7"/>
        <v>1.0000028447645768</v>
      </c>
      <c r="S254" s="7">
        <v>3.830276674846126E-2</v>
      </c>
      <c r="T254" s="7">
        <v>0</v>
      </c>
      <c r="U254" s="7">
        <v>3.4789775569871871E-3</v>
      </c>
      <c r="V254" s="7">
        <v>7.3106986178900733E-3</v>
      </c>
      <c r="W254" s="7">
        <v>0</v>
      </c>
      <c r="X254" s="7">
        <v>5.1759860160502928E-2</v>
      </c>
      <c r="Y254" s="7"/>
      <c r="Z254" s="14">
        <f>IFERROR(IF(INDEX('All GHED Countries'!$D$5:$AB$199,MATCH($B254,'All GHED Countries'!$B$5:$B$199,0),MATCH($D254,'All GHED Countries'!$D$4:$AB$4,0))="","",INDEX('All GHED Countries'!$D$5:$AB$199,MATCH($B254,'All GHED Countries'!$B$5:$B$199,0),MATCH($D254,'All GHED Countries'!$D$4:$AB$4,0))),"")</f>
        <v>0.15274279590000001</v>
      </c>
    </row>
    <row r="255" spans="1:26" x14ac:dyDescent="0.2">
      <c r="A255" s="6" t="s">
        <v>114</v>
      </c>
      <c r="B255" s="6" t="s">
        <v>115</v>
      </c>
      <c r="C255" s="6" t="s">
        <v>49</v>
      </c>
      <c r="D255" s="6" t="s">
        <v>22</v>
      </c>
      <c r="E255" s="6" t="s">
        <v>452</v>
      </c>
      <c r="F255" s="7">
        <v>0.23647860329410669</v>
      </c>
      <c r="G255" s="7">
        <v>5.373734156640541E-2</v>
      </c>
      <c r="H255" s="7">
        <v>6.5546025199754596E-2</v>
      </c>
      <c r="I255" s="7">
        <v>3.9585088152195171E-2</v>
      </c>
      <c r="J255" s="7">
        <v>0.1054520587419884</v>
      </c>
      <c r="K255" s="7">
        <v>1.5118252383988409E-2</v>
      </c>
      <c r="L255" s="7">
        <v>3.0992624912514009E-2</v>
      </c>
      <c r="M255" s="12">
        <f t="shared" si="6"/>
        <v>9.3583688007263771E-2</v>
      </c>
      <c r="N255" s="7">
        <v>4.9233877536579724E-3</v>
      </c>
      <c r="O255" s="7">
        <v>0.1965604293040831</v>
      </c>
      <c r="P255" s="7">
        <v>0.1580178797375614</v>
      </c>
      <c r="Q255" s="7"/>
      <c r="R255" s="13">
        <f t="shared" si="7"/>
        <v>0.9999953790535191</v>
      </c>
      <c r="S255" s="7">
        <v>3.265818434137005E-2</v>
      </c>
      <c r="T255" s="7">
        <v>0</v>
      </c>
      <c r="U255" s="7">
        <v>3.241831501198068E-3</v>
      </c>
      <c r="V255" s="7">
        <v>3.9859821630318842E-2</v>
      </c>
      <c r="W255" s="7">
        <v>0</v>
      </c>
      <c r="X255" s="7">
        <v>1.7823850534376809E-2</v>
      </c>
      <c r="Y255" s="7"/>
      <c r="Z255" s="14">
        <f>IFERROR(IF(INDEX('All GHED Countries'!$D$5:$AB$199,MATCH($B255,'All GHED Countries'!$B$5:$B$199,0),MATCH($D255,'All GHED Countries'!$D$4:$AB$4,0))="","",INDEX('All GHED Countries'!$D$5:$AB$199,MATCH($B255,'All GHED Countries'!$B$5:$B$199,0),MATCH($D255,'All GHED Countries'!$D$4:$AB$4,0))),"")</f>
        <v>0.17510868069999999</v>
      </c>
    </row>
    <row r="256" spans="1:26" x14ac:dyDescent="0.2">
      <c r="A256" s="6" t="s">
        <v>114</v>
      </c>
      <c r="B256" s="6" t="s">
        <v>115</v>
      </c>
      <c r="C256" s="6" t="s">
        <v>49</v>
      </c>
      <c r="D256" s="6" t="s">
        <v>23</v>
      </c>
      <c r="E256" s="6" t="s">
        <v>452</v>
      </c>
      <c r="F256" s="7">
        <v>0.30722812289211437</v>
      </c>
      <c r="G256" s="7">
        <v>4.5529100643957418E-2</v>
      </c>
      <c r="H256" s="7">
        <v>6.1200002776232852E-2</v>
      </c>
      <c r="I256" s="7">
        <v>3.7087225601164273E-2</v>
      </c>
      <c r="J256" s="7">
        <v>0.1175443889472402</v>
      </c>
      <c r="K256" s="7">
        <v>1.237360160054354E-2</v>
      </c>
      <c r="L256" s="7">
        <v>2.8163877139984372E-2</v>
      </c>
      <c r="M256" s="12">
        <f t="shared" si="6"/>
        <v>4.6580572858585328E-2</v>
      </c>
      <c r="N256" s="7">
        <v>5.1122453204338128E-3</v>
      </c>
      <c r="O256" s="7">
        <v>0.1747273311956587</v>
      </c>
      <c r="P256" s="7">
        <v>0.16445472506447209</v>
      </c>
      <c r="Q256" s="7"/>
      <c r="R256" s="13">
        <f t="shared" si="7"/>
        <v>1.000001194040387</v>
      </c>
      <c r="S256" s="7">
        <v>2.9158077196224881E-2</v>
      </c>
      <c r="T256" s="7">
        <v>0</v>
      </c>
      <c r="U256" s="7">
        <v>3.895424454539075E-3</v>
      </c>
      <c r="V256" s="7">
        <v>8.9458486551259979E-3</v>
      </c>
      <c r="W256" s="7">
        <v>0</v>
      </c>
      <c r="X256" s="7">
        <v>4.581222552695375E-3</v>
      </c>
      <c r="Y256" s="7"/>
      <c r="Z256" s="14">
        <f>IFERROR(IF(INDEX('All GHED Countries'!$D$5:$AB$199,MATCH($B256,'All GHED Countries'!$B$5:$B$199,0),MATCH($D256,'All GHED Countries'!$D$4:$AB$4,0))="","",INDEX('All GHED Countries'!$D$5:$AB$199,MATCH($B256,'All GHED Countries'!$B$5:$B$199,0),MATCH($D256,'All GHED Countries'!$D$4:$AB$4,0))),"")</f>
        <v>0.15032087329999999</v>
      </c>
    </row>
    <row r="257" spans="1:26" x14ac:dyDescent="0.2">
      <c r="A257" s="6" t="s">
        <v>114</v>
      </c>
      <c r="B257" s="6" t="s">
        <v>115</v>
      </c>
      <c r="C257" s="6" t="s">
        <v>49</v>
      </c>
      <c r="D257" s="6" t="s">
        <v>24</v>
      </c>
      <c r="E257" s="6" t="s">
        <v>452</v>
      </c>
      <c r="F257" s="7">
        <v>0.24665626830328341</v>
      </c>
      <c r="G257" s="7">
        <v>5.0727989882493031E-2</v>
      </c>
      <c r="H257" s="7">
        <v>6.5123276691356133E-2</v>
      </c>
      <c r="I257" s="7">
        <v>4.2430907388881202E-2</v>
      </c>
      <c r="J257" s="7">
        <v>0.14856776757098261</v>
      </c>
      <c r="K257" s="7">
        <v>1.7727128135906621E-2</v>
      </c>
      <c r="L257" s="7">
        <v>3.6844707136581528E-2</v>
      </c>
      <c r="M257" s="12">
        <f t="shared" si="6"/>
        <v>6.1979206115689259E-2</v>
      </c>
      <c r="N257" s="7">
        <v>4.6103893683637409E-3</v>
      </c>
      <c r="O257" s="7">
        <v>0.1757107443706781</v>
      </c>
      <c r="P257" s="7">
        <v>0.14961982753875019</v>
      </c>
      <c r="Q257" s="7"/>
      <c r="R257" s="13">
        <f t="shared" si="7"/>
        <v>0.99999821250296606</v>
      </c>
      <c r="S257" s="7">
        <v>4.0749214866371203E-2</v>
      </c>
      <c r="T257" s="7">
        <v>0</v>
      </c>
      <c r="U257" s="7">
        <v>0</v>
      </c>
      <c r="V257" s="7">
        <v>1.542825224832969E-2</v>
      </c>
      <c r="W257" s="7">
        <v>0</v>
      </c>
      <c r="X257" s="7">
        <v>5.8017390009883641E-3</v>
      </c>
      <c r="Y257" s="7"/>
      <c r="Z257" s="14">
        <f>IFERROR(IF(INDEX('All GHED Countries'!$D$5:$AB$199,MATCH($B257,'All GHED Countries'!$B$5:$B$199,0),MATCH($D257,'All GHED Countries'!$D$4:$AB$4,0))="","",INDEX('All GHED Countries'!$D$5:$AB$199,MATCH($B257,'All GHED Countries'!$B$5:$B$199,0),MATCH($D257,'All GHED Countries'!$D$4:$AB$4,0))),"")</f>
        <v>0.10429566379999999</v>
      </c>
    </row>
    <row r="258" spans="1:26" x14ac:dyDescent="0.2">
      <c r="A258" s="6" t="s">
        <v>114</v>
      </c>
      <c r="B258" s="6" t="s">
        <v>115</v>
      </c>
      <c r="C258" s="6" t="s">
        <v>49</v>
      </c>
      <c r="D258" s="6" t="s">
        <v>25</v>
      </c>
      <c r="E258" s="6" t="s">
        <v>452</v>
      </c>
      <c r="F258" s="7">
        <v>0.27105582513805471</v>
      </c>
      <c r="G258" s="7">
        <v>4.4355792135279397E-2</v>
      </c>
      <c r="H258" s="7">
        <v>6.8182854379068014E-2</v>
      </c>
      <c r="I258" s="7">
        <v>3.9515675815862517E-2</v>
      </c>
      <c r="J258" s="7">
        <v>0.1604451394645873</v>
      </c>
      <c r="K258" s="7">
        <v>1.409870401805188E-2</v>
      </c>
      <c r="L258" s="7">
        <v>2.5077293036244969E-2</v>
      </c>
      <c r="M258" s="12">
        <f t="shared" si="6"/>
        <v>7.4415291749488605E-2</v>
      </c>
      <c r="N258" s="7">
        <v>6.2056198789657516E-3</v>
      </c>
      <c r="O258" s="7">
        <v>0.15837683039897929</v>
      </c>
      <c r="P258" s="7">
        <v>0.13827097398541791</v>
      </c>
      <c r="Q258" s="7"/>
      <c r="R258" s="13">
        <f t="shared" si="7"/>
        <v>1.0000000000000004</v>
      </c>
      <c r="S258" s="7">
        <v>3.2502080521974931E-2</v>
      </c>
      <c r="T258" s="7">
        <v>0</v>
      </c>
      <c r="U258" s="7">
        <v>0</v>
      </c>
      <c r="V258" s="7">
        <v>3.1923071396210999E-2</v>
      </c>
      <c r="W258" s="7">
        <v>0</v>
      </c>
      <c r="X258" s="7">
        <v>9.9901398313026815E-3</v>
      </c>
      <c r="Y258" s="7"/>
      <c r="Z258" s="14">
        <f>IFERROR(IF(INDEX('All GHED Countries'!$D$5:$AB$199,MATCH($B258,'All GHED Countries'!$B$5:$B$199,0),MATCH($D258,'All GHED Countries'!$D$4:$AB$4,0))="","",INDEX('All GHED Countries'!$D$5:$AB$199,MATCH($B258,'All GHED Countries'!$B$5:$B$199,0),MATCH($D258,'All GHED Countries'!$D$4:$AB$4,0))),"")</f>
        <v>4.44415092E-2</v>
      </c>
    </row>
    <row r="259" spans="1:26" x14ac:dyDescent="0.2">
      <c r="A259" s="6" t="s">
        <v>114</v>
      </c>
      <c r="B259" s="6" t="s">
        <v>115</v>
      </c>
      <c r="C259" s="6" t="s">
        <v>49</v>
      </c>
      <c r="D259" s="6" t="s">
        <v>26</v>
      </c>
      <c r="E259" s="6" t="s">
        <v>452</v>
      </c>
      <c r="F259" s="7">
        <v>0.33250677162988501</v>
      </c>
      <c r="G259" s="7">
        <v>3.9406419181450533E-2</v>
      </c>
      <c r="H259" s="7">
        <v>6.6628801503316307E-2</v>
      </c>
      <c r="I259" s="7">
        <v>3.7211600066105098E-2</v>
      </c>
      <c r="J259" s="7">
        <v>0.14607733299235559</v>
      </c>
      <c r="K259" s="7">
        <v>1.290511945465694E-2</v>
      </c>
      <c r="L259" s="7">
        <v>2.9129572390949751E-2</v>
      </c>
      <c r="M259" s="12">
        <f t="shared" si="6"/>
        <v>5.8126022313554744E-2</v>
      </c>
      <c r="N259" s="7">
        <v>9.9763634193402364E-3</v>
      </c>
      <c r="O259" s="7">
        <v>0.1451611965374959</v>
      </c>
      <c r="P259" s="7">
        <v>0.12287080051088969</v>
      </c>
      <c r="Q259" s="7"/>
      <c r="R259" s="13">
        <f t="shared" si="7"/>
        <v>0.99999999999999978</v>
      </c>
      <c r="S259" s="7">
        <v>3.3083667615883772E-2</v>
      </c>
      <c r="T259" s="7">
        <v>0</v>
      </c>
      <c r="U259" s="7">
        <v>0</v>
      </c>
      <c r="V259" s="7">
        <v>5.1994441142576243E-3</v>
      </c>
      <c r="W259" s="7">
        <v>0</v>
      </c>
      <c r="X259" s="7">
        <v>1.9842910583413351E-2</v>
      </c>
      <c r="Y259" s="7"/>
      <c r="Z259" s="14">
        <f>IFERROR(IF(INDEX('All GHED Countries'!$D$5:$AB$199,MATCH($B259,'All GHED Countries'!$B$5:$B$199,0),MATCH($D259,'All GHED Countries'!$D$4:$AB$4,0))="","",INDEX('All GHED Countries'!$D$5:$AB$199,MATCH($B259,'All GHED Countries'!$B$5:$B$199,0),MATCH($D259,'All GHED Countries'!$D$4:$AB$4,0))),"")</f>
        <v>4.21817684E-2</v>
      </c>
    </row>
    <row r="260" spans="1:26" x14ac:dyDescent="0.2">
      <c r="A260" s="6" t="s">
        <v>114</v>
      </c>
      <c r="B260" s="6" t="s">
        <v>115</v>
      </c>
      <c r="C260" s="6" t="s">
        <v>49</v>
      </c>
      <c r="D260" s="6" t="s">
        <v>27</v>
      </c>
      <c r="E260" s="6" t="s">
        <v>452</v>
      </c>
      <c r="F260" s="7">
        <v>0.35454275764114968</v>
      </c>
      <c r="G260" s="7">
        <v>4.0070359340451903E-2</v>
      </c>
      <c r="H260" s="7">
        <v>7.1132224761225535E-2</v>
      </c>
      <c r="I260" s="7">
        <v>4.155660713058798E-2</v>
      </c>
      <c r="J260" s="7">
        <v>0.16047542579813151</v>
      </c>
      <c r="K260" s="7">
        <v>6.0899267383507814E-3</v>
      </c>
      <c r="L260" s="7">
        <v>1.5001351819288839E-2</v>
      </c>
      <c r="M260" s="12">
        <f t="shared" si="6"/>
        <v>3.7313493348322992E-2</v>
      </c>
      <c r="N260" s="7">
        <v>6.4573034263532888E-3</v>
      </c>
      <c r="O260" s="7">
        <v>0.15193777511853071</v>
      </c>
      <c r="P260" s="7">
        <v>0.1154227748776064</v>
      </c>
      <c r="Q260" s="7"/>
      <c r="R260" s="13">
        <f t="shared" si="7"/>
        <v>0.99999999999999956</v>
      </c>
      <c r="S260" s="7">
        <v>3.0939111996458331E-2</v>
      </c>
      <c r="T260" s="7">
        <v>0</v>
      </c>
      <c r="U260" s="7">
        <v>0</v>
      </c>
      <c r="V260" s="7">
        <v>3.23501068852382E-3</v>
      </c>
      <c r="W260" s="7">
        <v>0</v>
      </c>
      <c r="X260" s="7">
        <v>3.13937066334084E-3</v>
      </c>
      <c r="Y260" s="7"/>
      <c r="Z260" s="14">
        <f>IFERROR(IF(INDEX('All GHED Countries'!$D$5:$AB$199,MATCH($B260,'All GHED Countries'!$B$5:$B$199,0),MATCH($D260,'All GHED Countries'!$D$4:$AB$4,0))="","",INDEX('All GHED Countries'!$D$5:$AB$199,MATCH($B260,'All GHED Countries'!$B$5:$B$199,0),MATCH($D260,'All GHED Countries'!$D$4:$AB$4,0))),"")</f>
        <v>5.3777942699999998E-2</v>
      </c>
    </row>
    <row r="261" spans="1:26" x14ac:dyDescent="0.2">
      <c r="A261" s="6" t="s">
        <v>114</v>
      </c>
      <c r="B261" s="6" t="s">
        <v>115</v>
      </c>
      <c r="C261" s="6" t="s">
        <v>49</v>
      </c>
      <c r="D261" s="6" t="s">
        <v>28</v>
      </c>
      <c r="E261" s="6" t="s">
        <v>452</v>
      </c>
      <c r="F261" s="7">
        <v>0.2559164144644705</v>
      </c>
      <c r="G261" s="7">
        <v>3.5981820481611963E-2</v>
      </c>
      <c r="H261" s="7">
        <v>7.4602385346047018E-2</v>
      </c>
      <c r="I261" s="7">
        <v>3.8625855208757179E-2</v>
      </c>
      <c r="J261" s="7">
        <v>0.22142671697109631</v>
      </c>
      <c r="K261" s="7">
        <v>4.0521400287079224E-3</v>
      </c>
      <c r="L261" s="7">
        <v>2.8612999147958441E-2</v>
      </c>
      <c r="M261" s="12">
        <f t="shared" ref="M261:M324" si="8">SUM(S261:Y261)</f>
        <v>5.0808010800960479E-2</v>
      </c>
      <c r="N261" s="7">
        <v>3.0328392415820741E-3</v>
      </c>
      <c r="O261" s="7">
        <v>0.15956093135230051</v>
      </c>
      <c r="P261" s="7">
        <v>0.12737988695650729</v>
      </c>
      <c r="Q261" s="7"/>
      <c r="R261" s="13">
        <f t="shared" ref="R261:R324" si="9">SUM(F261:Q261)</f>
        <v>0.99999999999999967</v>
      </c>
      <c r="S261" s="7">
        <v>3.1220026577077072E-2</v>
      </c>
      <c r="T261" s="7">
        <v>0</v>
      </c>
      <c r="U261" s="7">
        <v>0</v>
      </c>
      <c r="V261" s="7">
        <v>1.5160038964472291E-3</v>
      </c>
      <c r="W261" s="7">
        <v>0</v>
      </c>
      <c r="X261" s="7">
        <v>1.807198032743618E-2</v>
      </c>
      <c r="Y261" s="7"/>
      <c r="Z261" s="14">
        <f>IFERROR(IF(INDEX('All GHED Countries'!$D$5:$AB$199,MATCH($B261,'All GHED Countries'!$B$5:$B$199,0),MATCH($D261,'All GHED Countries'!$D$4:$AB$4,0))="","",INDEX('All GHED Countries'!$D$5:$AB$199,MATCH($B261,'All GHED Countries'!$B$5:$B$199,0),MATCH($D261,'All GHED Countries'!$D$4:$AB$4,0))),"")</f>
        <v>5.5134177200000023E-2</v>
      </c>
    </row>
    <row r="262" spans="1:26" x14ac:dyDescent="0.2">
      <c r="A262" s="6" t="s">
        <v>114</v>
      </c>
      <c r="B262" s="6" t="s">
        <v>115</v>
      </c>
      <c r="C262" s="6" t="s">
        <v>49</v>
      </c>
      <c r="D262" s="6" t="s">
        <v>29</v>
      </c>
      <c r="E262" s="6" t="s">
        <v>452</v>
      </c>
      <c r="F262" s="7">
        <v>0.24599406961995429</v>
      </c>
      <c r="G262" s="7">
        <v>4.0050478247983287E-2</v>
      </c>
      <c r="H262" s="7">
        <v>6.6410935168413718E-2</v>
      </c>
      <c r="I262" s="7">
        <v>3.5769800727576573E-2</v>
      </c>
      <c r="J262" s="7">
        <v>0.19902654718014159</v>
      </c>
      <c r="K262" s="7">
        <v>3.2430440720255418E-3</v>
      </c>
      <c r="L262" s="7">
        <v>3.0377681030583581E-2</v>
      </c>
      <c r="M262" s="12">
        <f t="shared" si="8"/>
        <v>4.2638156073911249E-2</v>
      </c>
      <c r="N262" s="7">
        <v>1.029970700945289E-2</v>
      </c>
      <c r="O262" s="7">
        <v>0.1481033470309179</v>
      </c>
      <c r="P262" s="7">
        <v>0.17808624029048861</v>
      </c>
      <c r="Q262" s="7"/>
      <c r="R262" s="13">
        <f t="shared" si="9"/>
        <v>1.0000000064514494</v>
      </c>
      <c r="S262" s="7">
        <v>3.0981799203481548E-2</v>
      </c>
      <c r="T262" s="7">
        <v>0</v>
      </c>
      <c r="U262" s="7">
        <v>0</v>
      </c>
      <c r="V262" s="7">
        <v>5.2788939265539998E-4</v>
      </c>
      <c r="W262" s="7">
        <v>0</v>
      </c>
      <c r="X262" s="7">
        <v>1.1128467477774301E-2</v>
      </c>
      <c r="Y262" s="7"/>
      <c r="Z262" s="14">
        <f>IFERROR(IF(INDEX('All GHED Countries'!$D$5:$AB$199,MATCH($B262,'All GHED Countries'!$B$5:$B$199,0),MATCH($D262,'All GHED Countries'!$D$4:$AB$4,0))="","",INDEX('All GHED Countries'!$D$5:$AB$199,MATCH($B262,'All GHED Countries'!$B$5:$B$199,0),MATCH($D262,'All GHED Countries'!$D$4:$AB$4,0))),"")</f>
        <v>5.5134177200000023E-2</v>
      </c>
    </row>
    <row r="263" spans="1:26" x14ac:dyDescent="0.2">
      <c r="A263" s="6" t="s">
        <v>114</v>
      </c>
      <c r="B263" s="6" t="s">
        <v>115</v>
      </c>
      <c r="C263" s="6" t="s">
        <v>49</v>
      </c>
      <c r="D263" s="6" t="s">
        <v>30</v>
      </c>
      <c r="E263" s="6" t="s">
        <v>452</v>
      </c>
      <c r="F263" s="7">
        <v>0.2238706642325336</v>
      </c>
      <c r="G263" s="7">
        <v>4.2585281279639481E-2</v>
      </c>
      <c r="H263" s="7">
        <v>6.9429568059306876E-2</v>
      </c>
      <c r="I263" s="7">
        <v>3.4773591533148178E-2</v>
      </c>
      <c r="J263" s="7">
        <v>0.210066304675779</v>
      </c>
      <c r="K263" s="7">
        <v>3.9022260511910232E-3</v>
      </c>
      <c r="L263" s="7">
        <v>2.2912299853054721E-2</v>
      </c>
      <c r="M263" s="12">
        <f t="shared" si="8"/>
        <v>3.66143860982793E-2</v>
      </c>
      <c r="N263" s="7">
        <v>1.087588361186821E-2</v>
      </c>
      <c r="O263" s="7">
        <v>0.1361303615999373</v>
      </c>
      <c r="P263" s="7">
        <v>0.20883943300525859</v>
      </c>
      <c r="Q263" s="7"/>
      <c r="R263" s="13">
        <f t="shared" si="9"/>
        <v>0.99999999999999645</v>
      </c>
      <c r="S263" s="7">
        <v>1.956093038007474E-2</v>
      </c>
      <c r="T263" s="7">
        <v>0</v>
      </c>
      <c r="U263" s="7">
        <v>0</v>
      </c>
      <c r="V263" s="7">
        <v>3.0342756347744999E-5</v>
      </c>
      <c r="W263" s="7">
        <v>0</v>
      </c>
      <c r="X263" s="7">
        <v>1.702311296185682E-2</v>
      </c>
      <c r="Y263" s="7"/>
      <c r="Z263" s="14" t="str">
        <f>IFERROR(IF(INDEX('All GHED Countries'!$D$5:$AB$199,MATCH($B263,'All GHED Countries'!$B$5:$B$199,0),MATCH($D263,'All GHED Countries'!$D$4:$AB$4,0))="","",INDEX('All GHED Countries'!$D$5:$AB$199,MATCH($B263,'All GHED Countries'!$B$5:$B$199,0),MATCH($D263,'All GHED Countries'!$D$4:$AB$4,0))),"")</f>
        <v/>
      </c>
    </row>
    <row r="264" spans="1:26" x14ac:dyDescent="0.2">
      <c r="A264" s="6" t="s">
        <v>120</v>
      </c>
      <c r="B264" s="6" t="s">
        <v>121</v>
      </c>
      <c r="C264" s="6"/>
      <c r="D264" s="6" t="s">
        <v>11</v>
      </c>
      <c r="E264" s="6" t="s">
        <v>453</v>
      </c>
      <c r="F264" s="7">
        <v>9.3996103316732998E-2</v>
      </c>
      <c r="G264" s="7">
        <v>0.1064577510310733</v>
      </c>
      <c r="H264" s="7">
        <v>6.6712492147454859E-3</v>
      </c>
      <c r="I264" s="7">
        <v>8.243351511785646E-2</v>
      </c>
      <c r="J264" s="7">
        <v>0.10770277775248779</v>
      </c>
      <c r="K264" s="7">
        <v>5.0313191365386888E-2</v>
      </c>
      <c r="L264" s="7">
        <v>4.4379398563325657E-2</v>
      </c>
      <c r="M264" s="12">
        <f t="shared" si="8"/>
        <v>9.3438458807141481E-2</v>
      </c>
      <c r="N264" s="7">
        <v>1.9025920227245832E-2</v>
      </c>
      <c r="O264" s="7">
        <v>0.1634740570117538</v>
      </c>
      <c r="P264" s="7">
        <v>0.23210757759225031</v>
      </c>
      <c r="Q264" s="7"/>
      <c r="R264" s="13">
        <f t="shared" si="9"/>
        <v>1</v>
      </c>
      <c r="S264" s="7"/>
      <c r="T264" s="7"/>
      <c r="U264" s="7"/>
      <c r="V264" s="7"/>
      <c r="W264" s="7"/>
      <c r="X264" s="7"/>
      <c r="Y264" s="7">
        <v>9.3438458807141481E-2</v>
      </c>
      <c r="Z264" s="14">
        <f>IFERROR(IF(INDEX('All GHED Countries'!$D$5:$AB$199,MATCH($B264,'All GHED Countries'!$B$5:$B$199,0),MATCH($D264,'All GHED Countries'!$D$4:$AB$4,0))="","",INDEX('All GHED Countries'!$D$5:$AB$199,MATCH($B264,'All GHED Countries'!$B$5:$B$199,0),MATCH($D264,'All GHED Countries'!$D$4:$AB$4,0))),"")</f>
        <v>7.3627076099999994E-2</v>
      </c>
    </row>
    <row r="265" spans="1:26" x14ac:dyDescent="0.2">
      <c r="A265" s="6" t="s">
        <v>120</v>
      </c>
      <c r="B265" s="6" t="s">
        <v>121</v>
      </c>
      <c r="C265" s="6"/>
      <c r="D265" s="6" t="s">
        <v>12</v>
      </c>
      <c r="E265" s="6" t="s">
        <v>453</v>
      </c>
      <c r="F265" s="7">
        <v>9.2966871724210809E-2</v>
      </c>
      <c r="G265" s="7">
        <v>0.1045122821136576</v>
      </c>
      <c r="H265" s="7">
        <v>7.0784482285588864E-3</v>
      </c>
      <c r="I265" s="7">
        <v>8.106987605094533E-2</v>
      </c>
      <c r="J265" s="7">
        <v>0.1227235869015175</v>
      </c>
      <c r="K265" s="7">
        <v>5.2304915893890337E-2</v>
      </c>
      <c r="L265" s="7">
        <v>3.571740672320483E-2</v>
      </c>
      <c r="M265" s="12">
        <f t="shared" si="8"/>
        <v>8.8814913719345509E-2</v>
      </c>
      <c r="N265" s="7">
        <v>1.706916068666841E-2</v>
      </c>
      <c r="O265" s="7">
        <v>0.1546792343163495</v>
      </c>
      <c r="P265" s="7">
        <v>0.2430633036416513</v>
      </c>
      <c r="Q265" s="7"/>
      <c r="R265" s="13">
        <f t="shared" si="9"/>
        <v>0.99999999999999989</v>
      </c>
      <c r="S265" s="7"/>
      <c r="T265" s="7"/>
      <c r="U265" s="7"/>
      <c r="V265" s="7"/>
      <c r="W265" s="7"/>
      <c r="X265" s="7"/>
      <c r="Y265" s="7">
        <v>8.8814913719345509E-2</v>
      </c>
      <c r="Z265" s="14">
        <f>IFERROR(IF(INDEX('All GHED Countries'!$D$5:$AB$199,MATCH($B265,'All GHED Countries'!$B$5:$B$199,0),MATCH($D265,'All GHED Countries'!$D$4:$AB$4,0))="","",INDEX('All GHED Countries'!$D$5:$AB$199,MATCH($B265,'All GHED Countries'!$B$5:$B$199,0),MATCH($D265,'All GHED Countries'!$D$4:$AB$4,0))),"")</f>
        <v>7.3024840400000013E-2</v>
      </c>
    </row>
    <row r="266" spans="1:26" x14ac:dyDescent="0.2">
      <c r="A266" s="6" t="s">
        <v>120</v>
      </c>
      <c r="B266" s="6" t="s">
        <v>121</v>
      </c>
      <c r="C266" s="6"/>
      <c r="D266" s="6" t="s">
        <v>13</v>
      </c>
      <c r="E266" s="6" t="s">
        <v>453</v>
      </c>
      <c r="F266" s="7">
        <v>9.0372577664689799E-2</v>
      </c>
      <c r="G266" s="7">
        <v>0.1320846354040692</v>
      </c>
      <c r="H266" s="7">
        <v>6.5150298468474562E-3</v>
      </c>
      <c r="I266" s="7">
        <v>7.7775950310078279E-2</v>
      </c>
      <c r="J266" s="7">
        <v>0.1070384380956067</v>
      </c>
      <c r="K266" s="7">
        <v>5.1797099486266582E-2</v>
      </c>
      <c r="L266" s="7">
        <v>2.9003202368398141E-2</v>
      </c>
      <c r="M266" s="12">
        <f t="shared" si="8"/>
        <v>8.8426002070413415E-2</v>
      </c>
      <c r="N266" s="7">
        <v>1.5305579473882801E-2</v>
      </c>
      <c r="O266" s="7">
        <v>0.15082864910362709</v>
      </c>
      <c r="P266" s="7">
        <v>0.25085283617612059</v>
      </c>
      <c r="Q266" s="7"/>
      <c r="R266" s="13">
        <f t="shared" si="9"/>
        <v>1</v>
      </c>
      <c r="S266" s="7"/>
      <c r="T266" s="7"/>
      <c r="U266" s="7"/>
      <c r="V266" s="7"/>
      <c r="W266" s="7"/>
      <c r="X266" s="7"/>
      <c r="Y266" s="7">
        <v>8.8426002070413415E-2</v>
      </c>
      <c r="Z266" s="14">
        <f>IFERROR(IF(INDEX('All GHED Countries'!$D$5:$AB$199,MATCH($B266,'All GHED Countries'!$B$5:$B$199,0),MATCH($D266,'All GHED Countries'!$D$4:$AB$4,0))="","",INDEX('All GHED Countries'!$D$5:$AB$199,MATCH($B266,'All GHED Countries'!$B$5:$B$199,0),MATCH($D266,'All GHED Countries'!$D$4:$AB$4,0))),"")</f>
        <v>6.8428731000000007E-2</v>
      </c>
    </row>
    <row r="267" spans="1:26" x14ac:dyDescent="0.2">
      <c r="A267" s="6" t="s">
        <v>120</v>
      </c>
      <c r="B267" s="6" t="s">
        <v>121</v>
      </c>
      <c r="C267" s="6"/>
      <c r="D267" s="6" t="s">
        <v>14</v>
      </c>
      <c r="E267" s="6" t="s">
        <v>453</v>
      </c>
      <c r="F267" s="7">
        <v>9.1504839881890718E-2</v>
      </c>
      <c r="G267" s="7">
        <v>0.14005111982613641</v>
      </c>
      <c r="H267" s="7">
        <v>6.8780040797553552E-3</v>
      </c>
      <c r="I267" s="7">
        <v>7.264387106287809E-2</v>
      </c>
      <c r="J267" s="7">
        <v>0.1350620214099382</v>
      </c>
      <c r="K267" s="7">
        <v>9.7570052769985361E-3</v>
      </c>
      <c r="L267" s="7">
        <v>6.0987427191113011E-2</v>
      </c>
      <c r="M267" s="12">
        <f t="shared" si="8"/>
        <v>8.5864455219242949E-2</v>
      </c>
      <c r="N267" s="7">
        <v>1.4064974141653881E-2</v>
      </c>
      <c r="O267" s="7">
        <v>0.14685188241035599</v>
      </c>
      <c r="P267" s="7">
        <v>0.23687684545732229</v>
      </c>
      <c r="Q267" s="7"/>
      <c r="R267" s="13">
        <f t="shared" si="9"/>
        <v>1.0005424459572854</v>
      </c>
      <c r="S267" s="7"/>
      <c r="T267" s="7"/>
      <c r="U267" s="7"/>
      <c r="V267" s="7"/>
      <c r="W267" s="7"/>
      <c r="X267" s="7"/>
      <c r="Y267" s="7">
        <v>8.5864455219242949E-2</v>
      </c>
      <c r="Z267" s="14">
        <f>IFERROR(IF(INDEX('All GHED Countries'!$D$5:$AB$199,MATCH($B267,'All GHED Countries'!$B$5:$B$199,0),MATCH($D267,'All GHED Countries'!$D$4:$AB$4,0))="","",INDEX('All GHED Countries'!$D$5:$AB$199,MATCH($B267,'All GHED Countries'!$B$5:$B$199,0),MATCH($D267,'All GHED Countries'!$D$4:$AB$4,0))),"")</f>
        <v>6.1225447699999998E-2</v>
      </c>
    </row>
    <row r="268" spans="1:26" x14ac:dyDescent="0.2">
      <c r="A268" s="6" t="s">
        <v>120</v>
      </c>
      <c r="B268" s="6" t="s">
        <v>121</v>
      </c>
      <c r="C268" s="6"/>
      <c r="D268" s="6" t="s">
        <v>15</v>
      </c>
      <c r="E268" s="6" t="s">
        <v>453</v>
      </c>
      <c r="F268" s="7">
        <v>0.1132514781710056</v>
      </c>
      <c r="G268" s="7">
        <v>0.1255390907944848</v>
      </c>
      <c r="H268" s="7">
        <v>7.7009635542717161E-3</v>
      </c>
      <c r="I268" s="7">
        <v>7.9935628162367683E-2</v>
      </c>
      <c r="J268" s="7">
        <v>0.120877735530733</v>
      </c>
      <c r="K268" s="7">
        <v>3.7921175626481479E-2</v>
      </c>
      <c r="L268" s="7">
        <v>2.9249031543134268E-2</v>
      </c>
      <c r="M268" s="12">
        <f t="shared" si="8"/>
        <v>9.530175855269199E-2</v>
      </c>
      <c r="N268" s="7">
        <v>1.4756029801546109E-2</v>
      </c>
      <c r="O268" s="7">
        <v>0.16332797420146081</v>
      </c>
      <c r="P268" s="7">
        <v>0.2121391340618225</v>
      </c>
      <c r="Q268" s="7"/>
      <c r="R268" s="13">
        <f t="shared" si="9"/>
        <v>1</v>
      </c>
      <c r="S268" s="7"/>
      <c r="T268" s="7"/>
      <c r="U268" s="7"/>
      <c r="V268" s="7"/>
      <c r="W268" s="7"/>
      <c r="X268" s="7"/>
      <c r="Y268" s="7">
        <v>9.530175855269199E-2</v>
      </c>
      <c r="Z268" s="14">
        <f>IFERROR(IF(INDEX('All GHED Countries'!$D$5:$AB$199,MATCH($B268,'All GHED Countries'!$B$5:$B$199,0),MATCH($D268,'All GHED Countries'!$D$4:$AB$4,0))="","",INDEX('All GHED Countries'!$D$5:$AB$199,MATCH($B268,'All GHED Countries'!$B$5:$B$199,0),MATCH($D268,'All GHED Countries'!$D$4:$AB$4,0))),"")</f>
        <v>6.2817368499999998E-2</v>
      </c>
    </row>
    <row r="269" spans="1:26" x14ac:dyDescent="0.2">
      <c r="A269" s="6" t="s">
        <v>120</v>
      </c>
      <c r="B269" s="6" t="s">
        <v>121</v>
      </c>
      <c r="C269" s="6"/>
      <c r="D269" s="6" t="s">
        <v>16</v>
      </c>
      <c r="E269" s="6" t="s">
        <v>453</v>
      </c>
      <c r="F269" s="7">
        <v>0.1031481612968414</v>
      </c>
      <c r="G269" s="7">
        <v>0.1015956546198339</v>
      </c>
      <c r="H269" s="7">
        <v>6.2523553861194717E-3</v>
      </c>
      <c r="I269" s="7">
        <v>7.8242513285743151E-2</v>
      </c>
      <c r="J269" s="7">
        <v>0.13979387299211871</v>
      </c>
      <c r="K269" s="7">
        <v>4.0367904484655173E-2</v>
      </c>
      <c r="L269" s="7">
        <v>3.4054104243245148E-2</v>
      </c>
      <c r="M269" s="12">
        <f t="shared" si="8"/>
        <v>0.1108943093871354</v>
      </c>
      <c r="N269" s="7">
        <v>1.343321080774041E-2</v>
      </c>
      <c r="O269" s="7">
        <v>0.15727288616043389</v>
      </c>
      <c r="P269" s="7">
        <v>0.21494502733613341</v>
      </c>
      <c r="Q269" s="7"/>
      <c r="R269" s="13">
        <f t="shared" si="9"/>
        <v>1</v>
      </c>
      <c r="S269" s="7"/>
      <c r="T269" s="7"/>
      <c r="U269" s="7"/>
      <c r="V269" s="7"/>
      <c r="W269" s="7"/>
      <c r="X269" s="7"/>
      <c r="Y269" s="7">
        <v>0.1108943093871354</v>
      </c>
      <c r="Z269" s="14">
        <f>IFERROR(IF(INDEX('All GHED Countries'!$D$5:$AB$199,MATCH($B269,'All GHED Countries'!$B$5:$B$199,0),MATCH($D269,'All GHED Countries'!$D$4:$AB$4,0))="","",INDEX('All GHED Countries'!$D$5:$AB$199,MATCH($B269,'All GHED Countries'!$B$5:$B$199,0),MATCH($D269,'All GHED Countries'!$D$4:$AB$4,0))),"")</f>
        <v>8.29588032E-2</v>
      </c>
    </row>
    <row r="270" spans="1:26" x14ac:dyDescent="0.2">
      <c r="A270" s="6" t="s">
        <v>120</v>
      </c>
      <c r="B270" s="6" t="s">
        <v>121</v>
      </c>
      <c r="C270" s="6"/>
      <c r="D270" s="6" t="s">
        <v>17</v>
      </c>
      <c r="E270" s="6" t="s">
        <v>453</v>
      </c>
      <c r="F270" s="7">
        <v>9.6269516038440237E-2</v>
      </c>
      <c r="G270" s="7">
        <v>8.5530751793927259E-2</v>
      </c>
      <c r="H270" s="7">
        <v>6.7387052624100366E-3</v>
      </c>
      <c r="I270" s="7">
        <v>9.3478590166879164E-2</v>
      </c>
      <c r="J270" s="7">
        <v>0.1374296403834373</v>
      </c>
      <c r="K270" s="7">
        <v>3.9198969421801129E-2</v>
      </c>
      <c r="L270" s="7">
        <v>4.1685601262217001E-2</v>
      </c>
      <c r="M270" s="12">
        <f t="shared" si="8"/>
        <v>0.1034881211385154</v>
      </c>
      <c r="N270" s="7">
        <v>1.3500199064597471E-2</v>
      </c>
      <c r="O270" s="7">
        <v>0.15868866699106821</v>
      </c>
      <c r="P270" s="7">
        <v>0.22399257897904659</v>
      </c>
      <c r="Q270" s="7"/>
      <c r="R270" s="13">
        <f t="shared" si="9"/>
        <v>1.0000013405023398</v>
      </c>
      <c r="S270" s="7"/>
      <c r="T270" s="7"/>
      <c r="U270" s="7"/>
      <c r="V270" s="7"/>
      <c r="W270" s="7"/>
      <c r="X270" s="7"/>
      <c r="Y270" s="7">
        <v>0.1034881211385154</v>
      </c>
      <c r="Z270" s="14">
        <f>IFERROR(IF(INDEX('All GHED Countries'!$D$5:$AB$199,MATCH($B270,'All GHED Countries'!$B$5:$B$199,0),MATCH($D270,'All GHED Countries'!$D$4:$AB$4,0))="","",INDEX('All GHED Countries'!$D$5:$AB$199,MATCH($B270,'All GHED Countries'!$B$5:$B$199,0),MATCH($D270,'All GHED Countries'!$D$4:$AB$4,0))),"")</f>
        <v>7.3622040700000002E-2</v>
      </c>
    </row>
    <row r="271" spans="1:26" x14ac:dyDescent="0.2">
      <c r="A271" s="6" t="s">
        <v>120</v>
      </c>
      <c r="B271" s="6" t="s">
        <v>121</v>
      </c>
      <c r="C271" s="6"/>
      <c r="D271" s="6" t="s">
        <v>18</v>
      </c>
      <c r="E271" s="6" t="s">
        <v>453</v>
      </c>
      <c r="F271" s="7">
        <v>0.1005203929048592</v>
      </c>
      <c r="G271" s="7">
        <v>8.3559907120547366E-2</v>
      </c>
      <c r="H271" s="7">
        <v>6.3288979223468109E-3</v>
      </c>
      <c r="I271" s="7">
        <v>8.7059950728891347E-2</v>
      </c>
      <c r="J271" s="7">
        <v>0.14346386764298799</v>
      </c>
      <c r="K271" s="7">
        <v>3.976828169220599E-2</v>
      </c>
      <c r="L271" s="7">
        <v>4.3205124802024437E-2</v>
      </c>
      <c r="M271" s="12">
        <f t="shared" si="8"/>
        <v>0.1023797515714804</v>
      </c>
      <c r="N271" s="7">
        <v>1.236580954150566E-2</v>
      </c>
      <c r="O271" s="7">
        <v>0.1594156734708323</v>
      </c>
      <c r="P271" s="7">
        <v>0.22193234260231839</v>
      </c>
      <c r="Q271" s="7"/>
      <c r="R271" s="13">
        <f t="shared" si="9"/>
        <v>1</v>
      </c>
      <c r="S271" s="7"/>
      <c r="T271" s="7"/>
      <c r="U271" s="7"/>
      <c r="V271" s="7"/>
      <c r="W271" s="7"/>
      <c r="X271" s="7"/>
      <c r="Y271" s="7">
        <v>0.1023797515714804</v>
      </c>
      <c r="Z271" s="14">
        <f>IFERROR(IF(INDEX('All GHED Countries'!$D$5:$AB$199,MATCH($B271,'All GHED Countries'!$B$5:$B$199,0),MATCH($D271,'All GHED Countries'!$D$4:$AB$4,0))="","",INDEX('All GHED Countries'!$D$5:$AB$199,MATCH($B271,'All GHED Countries'!$B$5:$B$199,0),MATCH($D271,'All GHED Countries'!$D$4:$AB$4,0))),"")</f>
        <v>8.3190431599999975E-2</v>
      </c>
    </row>
    <row r="272" spans="1:26" x14ac:dyDescent="0.2">
      <c r="A272" s="6" t="s">
        <v>120</v>
      </c>
      <c r="B272" s="6" t="s">
        <v>121</v>
      </c>
      <c r="C272" s="6"/>
      <c r="D272" s="6" t="s">
        <v>19</v>
      </c>
      <c r="E272" s="6" t="s">
        <v>453</v>
      </c>
      <c r="F272" s="7">
        <v>0.1192772201161019</v>
      </c>
      <c r="G272" s="7">
        <v>6.9773593825312716E-2</v>
      </c>
      <c r="H272" s="7">
        <v>7.8241048092167892E-3</v>
      </c>
      <c r="I272" s="7">
        <v>0.1019769853127724</v>
      </c>
      <c r="J272" s="7">
        <v>0.13952461494897869</v>
      </c>
      <c r="K272" s="7">
        <v>2.2536453512663319E-2</v>
      </c>
      <c r="L272" s="7">
        <v>5.4817020572760278E-2</v>
      </c>
      <c r="M272" s="12">
        <f t="shared" si="8"/>
        <v>9.9460738706874621E-2</v>
      </c>
      <c r="N272" s="7">
        <v>1.2839528445168469E-2</v>
      </c>
      <c r="O272" s="7">
        <v>0.15608502533673169</v>
      </c>
      <c r="P272" s="7">
        <v>0.21588471441341911</v>
      </c>
      <c r="Q272" s="7"/>
      <c r="R272" s="13">
        <f t="shared" si="9"/>
        <v>1</v>
      </c>
      <c r="S272" s="7"/>
      <c r="T272" s="7"/>
      <c r="U272" s="7"/>
      <c r="V272" s="7"/>
      <c r="W272" s="7"/>
      <c r="X272" s="7"/>
      <c r="Y272" s="7">
        <v>9.9460738706874621E-2</v>
      </c>
      <c r="Z272" s="14">
        <f>IFERROR(IF(INDEX('All GHED Countries'!$D$5:$AB$199,MATCH($B272,'All GHED Countries'!$B$5:$B$199,0),MATCH($D272,'All GHED Countries'!$D$4:$AB$4,0))="","",INDEX('All GHED Countries'!$D$5:$AB$199,MATCH($B272,'All GHED Countries'!$B$5:$B$199,0),MATCH($D272,'All GHED Countries'!$D$4:$AB$4,0))),"")</f>
        <v>8.0071840299999988E-2</v>
      </c>
    </row>
    <row r="273" spans="1:26" x14ac:dyDescent="0.2">
      <c r="A273" s="6" t="s">
        <v>120</v>
      </c>
      <c r="B273" s="6" t="s">
        <v>121</v>
      </c>
      <c r="C273" s="6"/>
      <c r="D273" s="6" t="s">
        <v>20</v>
      </c>
      <c r="E273" s="6" t="s">
        <v>453</v>
      </c>
      <c r="F273" s="7">
        <v>0.1087525337855878</v>
      </c>
      <c r="G273" s="7">
        <v>7.2802147923951191E-2</v>
      </c>
      <c r="H273" s="7">
        <v>6.4566794242013007E-3</v>
      </c>
      <c r="I273" s="7">
        <v>9.4495319089168764E-2</v>
      </c>
      <c r="J273" s="7">
        <v>0.1150963425913071</v>
      </c>
      <c r="K273" s="7">
        <v>2.2675378545964849E-2</v>
      </c>
      <c r="L273" s="7">
        <v>6.8120117990571855E-2</v>
      </c>
      <c r="M273" s="12">
        <f t="shared" si="8"/>
        <v>0.1049996475661775</v>
      </c>
      <c r="N273" s="7">
        <v>1.2469749430231989E-2</v>
      </c>
      <c r="O273" s="7">
        <v>0.1656972956578017</v>
      </c>
      <c r="P273" s="7">
        <v>0.228434787995036</v>
      </c>
      <c r="Q273" s="7"/>
      <c r="R273" s="13">
        <f t="shared" si="9"/>
        <v>1</v>
      </c>
      <c r="S273" s="7"/>
      <c r="T273" s="7"/>
      <c r="U273" s="7"/>
      <c r="V273" s="7"/>
      <c r="W273" s="7"/>
      <c r="X273" s="7"/>
      <c r="Y273" s="7">
        <v>0.1049996475661775</v>
      </c>
      <c r="Z273" s="14">
        <f>IFERROR(IF(INDEX('All GHED Countries'!$D$5:$AB$199,MATCH($B273,'All GHED Countries'!$B$5:$B$199,0),MATCH($D273,'All GHED Countries'!$D$4:$AB$4,0))="","",INDEX('All GHED Countries'!$D$5:$AB$199,MATCH($B273,'All GHED Countries'!$B$5:$B$199,0),MATCH($D273,'All GHED Countries'!$D$4:$AB$4,0))),"")</f>
        <v>0.1052838707</v>
      </c>
    </row>
    <row r="274" spans="1:26" x14ac:dyDescent="0.2">
      <c r="A274" s="6" t="s">
        <v>120</v>
      </c>
      <c r="B274" s="6" t="s">
        <v>121</v>
      </c>
      <c r="C274" s="6"/>
      <c r="D274" s="6" t="s">
        <v>21</v>
      </c>
      <c r="E274" s="6" t="s">
        <v>453</v>
      </c>
      <c r="F274" s="7">
        <v>0.26020830134331602</v>
      </c>
      <c r="G274" s="7"/>
      <c r="H274" s="7">
        <v>6.3726677950699199E-3</v>
      </c>
      <c r="I274" s="7">
        <v>0.10536029983721</v>
      </c>
      <c r="J274" s="7">
        <v>0.1158036863089786</v>
      </c>
      <c r="K274" s="7">
        <v>2.4390424703882752E-2</v>
      </c>
      <c r="L274" s="7">
        <v>2.603607944467095E-2</v>
      </c>
      <c r="M274" s="12">
        <f t="shared" si="8"/>
        <v>9.8459713757737169E-2</v>
      </c>
      <c r="N274" s="7">
        <v>1.1439100714281929E-2</v>
      </c>
      <c r="O274" s="7">
        <v>0.164709495343136</v>
      </c>
      <c r="P274" s="7">
        <v>0.1872202307517169</v>
      </c>
      <c r="Q274" s="7"/>
      <c r="R274" s="13">
        <f t="shared" si="9"/>
        <v>1</v>
      </c>
      <c r="S274" s="7"/>
      <c r="T274" s="7"/>
      <c r="U274" s="7"/>
      <c r="V274" s="7"/>
      <c r="W274" s="7"/>
      <c r="X274" s="7"/>
      <c r="Y274" s="7">
        <v>9.8459713757737169E-2</v>
      </c>
      <c r="Z274" s="14">
        <f>IFERROR(IF(INDEX('All GHED Countries'!$D$5:$AB$199,MATCH($B274,'All GHED Countries'!$B$5:$B$199,0),MATCH($D274,'All GHED Countries'!$D$4:$AB$4,0))="","",INDEX('All GHED Countries'!$D$5:$AB$199,MATCH($B274,'All GHED Countries'!$B$5:$B$199,0),MATCH($D274,'All GHED Countries'!$D$4:$AB$4,0))),"")</f>
        <v>9.4584188500000013E-2</v>
      </c>
    </row>
    <row r="275" spans="1:26" x14ac:dyDescent="0.2">
      <c r="A275" s="6" t="s">
        <v>120</v>
      </c>
      <c r="B275" s="6" t="s">
        <v>121</v>
      </c>
      <c r="C275" s="6"/>
      <c r="D275" s="6" t="s">
        <v>22</v>
      </c>
      <c r="E275" s="6" t="s">
        <v>453</v>
      </c>
      <c r="F275" s="7">
        <v>0.2263501808545639</v>
      </c>
      <c r="G275" s="7"/>
      <c r="H275" s="7">
        <v>5.9690732515308223E-3</v>
      </c>
      <c r="I275" s="7">
        <v>9.3909244236235756E-2</v>
      </c>
      <c r="J275" s="7">
        <v>0.10409719931910411</v>
      </c>
      <c r="K275" s="7">
        <v>2.6514649810126752E-2</v>
      </c>
      <c r="L275" s="7">
        <v>2.9724644547897468E-2</v>
      </c>
      <c r="M275" s="12">
        <f t="shared" si="8"/>
        <v>0.1004710793888081</v>
      </c>
      <c r="N275" s="7">
        <v>1.1807892407167691E-2</v>
      </c>
      <c r="O275" s="7">
        <v>0.16295463336522431</v>
      </c>
      <c r="P275" s="7">
        <v>0.2382014028193411</v>
      </c>
      <c r="Q275" s="7"/>
      <c r="R275" s="13">
        <f t="shared" si="9"/>
        <v>1</v>
      </c>
      <c r="S275" s="7"/>
      <c r="T275" s="7"/>
      <c r="U275" s="7"/>
      <c r="V275" s="7"/>
      <c r="W275" s="7"/>
      <c r="X275" s="7"/>
      <c r="Y275" s="7">
        <v>0.1004710793888081</v>
      </c>
      <c r="Z275" s="14">
        <f>IFERROR(IF(INDEX('All GHED Countries'!$D$5:$AB$199,MATCH($B275,'All GHED Countries'!$B$5:$B$199,0),MATCH($D275,'All GHED Countries'!$D$4:$AB$4,0))="","",INDEX('All GHED Countries'!$D$5:$AB$199,MATCH($B275,'All GHED Countries'!$B$5:$B$199,0),MATCH($D275,'All GHED Countries'!$D$4:$AB$4,0))),"")</f>
        <v>0.102022686</v>
      </c>
    </row>
    <row r="276" spans="1:26" x14ac:dyDescent="0.2">
      <c r="A276" s="6" t="s">
        <v>120</v>
      </c>
      <c r="B276" s="6" t="s">
        <v>121</v>
      </c>
      <c r="C276" s="6"/>
      <c r="D276" s="6" t="s">
        <v>23</v>
      </c>
      <c r="E276" s="6" t="s">
        <v>453</v>
      </c>
      <c r="F276" s="7">
        <v>0.20503286270797449</v>
      </c>
      <c r="G276" s="7"/>
      <c r="H276" s="7">
        <v>6.8502771209083026E-3</v>
      </c>
      <c r="I276" s="7">
        <v>8.9568634987112872E-2</v>
      </c>
      <c r="J276" s="7">
        <v>0.150549861384115</v>
      </c>
      <c r="K276" s="7">
        <v>2.1773791574989741E-2</v>
      </c>
      <c r="L276" s="7">
        <v>2.505170012072469E-2</v>
      </c>
      <c r="M276" s="12">
        <f t="shared" si="8"/>
        <v>0.1000744272463379</v>
      </c>
      <c r="N276" s="7">
        <v>1.206327287022713E-2</v>
      </c>
      <c r="O276" s="7">
        <v>0.1580997629246538</v>
      </c>
      <c r="P276" s="7">
        <v>0.2309354090629557</v>
      </c>
      <c r="Q276" s="7"/>
      <c r="R276" s="13">
        <f t="shared" si="9"/>
        <v>0.99999999999999967</v>
      </c>
      <c r="S276" s="7"/>
      <c r="T276" s="7"/>
      <c r="U276" s="7"/>
      <c r="V276" s="7"/>
      <c r="W276" s="7"/>
      <c r="X276" s="7"/>
      <c r="Y276" s="7">
        <v>0.1000744272463379</v>
      </c>
      <c r="Z276" s="14">
        <f>IFERROR(IF(INDEX('All GHED Countries'!$D$5:$AB$199,MATCH($B276,'All GHED Countries'!$B$5:$B$199,0),MATCH($D276,'All GHED Countries'!$D$4:$AB$4,0))="","",INDEX('All GHED Countries'!$D$5:$AB$199,MATCH($B276,'All GHED Countries'!$B$5:$B$199,0),MATCH($D276,'All GHED Countries'!$D$4:$AB$4,0))),"")</f>
        <v>0.10204333309999999</v>
      </c>
    </row>
    <row r="277" spans="1:26" x14ac:dyDescent="0.2">
      <c r="A277" s="6" t="s">
        <v>120</v>
      </c>
      <c r="B277" s="6" t="s">
        <v>121</v>
      </c>
      <c r="C277" s="6"/>
      <c r="D277" s="6" t="s">
        <v>24</v>
      </c>
      <c r="E277" s="6" t="s">
        <v>453</v>
      </c>
      <c r="F277" s="7">
        <v>0.1187739348142044</v>
      </c>
      <c r="G277" s="7">
        <v>6.2887410853091838E-2</v>
      </c>
      <c r="H277" s="7">
        <v>6.4736679028020612E-3</v>
      </c>
      <c r="I277" s="7">
        <v>8.2717405306368494E-2</v>
      </c>
      <c r="J277" s="7">
        <v>0.1391840138028172</v>
      </c>
      <c r="K277" s="7">
        <v>2.036058840743802E-2</v>
      </c>
      <c r="L277" s="7">
        <v>3.2664451655814018E-2</v>
      </c>
      <c r="M277" s="12">
        <f t="shared" si="8"/>
        <v>9.760621951446434E-2</v>
      </c>
      <c r="N277" s="7">
        <v>1.173138258770948E-2</v>
      </c>
      <c r="O277" s="7">
        <v>0.15415552256685761</v>
      </c>
      <c r="P277" s="7">
        <v>0.27344540258843297</v>
      </c>
      <c r="Q277" s="7"/>
      <c r="R277" s="13">
        <f t="shared" si="9"/>
        <v>1.0000000000000004</v>
      </c>
      <c r="S277" s="7">
        <v>0</v>
      </c>
      <c r="T277" s="7">
        <v>8.2738204489999999E-9</v>
      </c>
      <c r="U277" s="7">
        <v>9.3655841496384729E-2</v>
      </c>
      <c r="V277" s="7">
        <v>6.6907431163798698E-4</v>
      </c>
      <c r="W277" s="7">
        <v>0</v>
      </c>
      <c r="X277" s="7">
        <v>3.2812954326211798E-3</v>
      </c>
      <c r="Y277" s="7"/>
      <c r="Z277" s="14">
        <f>IFERROR(IF(INDEX('All GHED Countries'!$D$5:$AB$199,MATCH($B277,'All GHED Countries'!$B$5:$B$199,0),MATCH($D277,'All GHED Countries'!$D$4:$AB$4,0))="","",INDEX('All GHED Countries'!$D$5:$AB$199,MATCH($B277,'All GHED Countries'!$B$5:$B$199,0),MATCH($D277,'All GHED Countries'!$D$4:$AB$4,0))),"")</f>
        <v>0.1020625019</v>
      </c>
    </row>
    <row r="278" spans="1:26" x14ac:dyDescent="0.2">
      <c r="A278" s="6" t="s">
        <v>120</v>
      </c>
      <c r="B278" s="6" t="s">
        <v>121</v>
      </c>
      <c r="C278" s="6"/>
      <c r="D278" s="6" t="s">
        <v>25</v>
      </c>
      <c r="E278" s="6" t="s">
        <v>453</v>
      </c>
      <c r="F278" s="7">
        <v>0.1214351715761868</v>
      </c>
      <c r="G278" s="7">
        <v>7.2728236873659563E-2</v>
      </c>
      <c r="H278" s="7">
        <v>6.0883659031543656E-3</v>
      </c>
      <c r="I278" s="7">
        <v>8.3330095071704302E-2</v>
      </c>
      <c r="J278" s="7">
        <v>0.12528750185423801</v>
      </c>
      <c r="K278" s="7">
        <v>3.1484024830902957E-2</v>
      </c>
      <c r="L278" s="7">
        <v>3.1629111355805789E-2</v>
      </c>
      <c r="M278" s="12">
        <f t="shared" si="8"/>
        <v>9.9180318477417817E-2</v>
      </c>
      <c r="N278" s="7">
        <v>1.9210748617576601E-2</v>
      </c>
      <c r="O278" s="7">
        <v>0.14494100251970871</v>
      </c>
      <c r="P278" s="7">
        <v>0.2646854229196432</v>
      </c>
      <c r="Q278" s="7"/>
      <c r="R278" s="13">
        <f t="shared" si="9"/>
        <v>0.999999999999998</v>
      </c>
      <c r="S278" s="7">
        <v>0</v>
      </c>
      <c r="T278" s="7">
        <v>1.7534293217779501E-4</v>
      </c>
      <c r="U278" s="7">
        <v>9.4905445774669431E-2</v>
      </c>
      <c r="V278" s="7">
        <v>7.2850505828625403E-4</v>
      </c>
      <c r="W278" s="7">
        <v>0</v>
      </c>
      <c r="X278" s="7">
        <v>3.3710247122843411E-3</v>
      </c>
      <c r="Y278" s="7"/>
      <c r="Z278" s="14">
        <f>IFERROR(IF(INDEX('All GHED Countries'!$D$5:$AB$199,MATCH($B278,'All GHED Countries'!$B$5:$B$199,0),MATCH($D278,'All GHED Countries'!$D$4:$AB$4,0))="","",INDEX('All GHED Countries'!$D$5:$AB$199,MATCH($B278,'All GHED Countries'!$B$5:$B$199,0),MATCH($D278,'All GHED Countries'!$D$4:$AB$4,0))),"")</f>
        <v>9.0032053000000001E-2</v>
      </c>
    </row>
    <row r="279" spans="1:26" x14ac:dyDescent="0.2">
      <c r="A279" s="6" t="s">
        <v>120</v>
      </c>
      <c r="B279" s="6" t="s">
        <v>121</v>
      </c>
      <c r="C279" s="6"/>
      <c r="D279" s="6" t="s">
        <v>26</v>
      </c>
      <c r="E279" s="6" t="s">
        <v>453</v>
      </c>
      <c r="F279" s="7">
        <v>0.18771101157194811</v>
      </c>
      <c r="G279" s="7">
        <v>6.8029287523656029E-2</v>
      </c>
      <c r="H279" s="7">
        <v>5.0690957788055548E-3</v>
      </c>
      <c r="I279" s="7">
        <v>7.4472122360920545E-2</v>
      </c>
      <c r="J279" s="7">
        <v>0.1131918126101613</v>
      </c>
      <c r="K279" s="7">
        <v>2.1520142990779931E-3</v>
      </c>
      <c r="L279" s="7">
        <v>2.4349163573499869E-2</v>
      </c>
      <c r="M279" s="12">
        <f t="shared" si="8"/>
        <v>9.7571830672657775E-2</v>
      </c>
      <c r="N279" s="7">
        <v>1.7172258961366552E-2</v>
      </c>
      <c r="O279" s="7">
        <v>0.12527967536093881</v>
      </c>
      <c r="P279" s="7">
        <v>0.2850017272869676</v>
      </c>
      <c r="Q279" s="7"/>
      <c r="R279" s="13">
        <f t="shared" si="9"/>
        <v>1.0000000000000002</v>
      </c>
      <c r="S279" s="7">
        <v>0</v>
      </c>
      <c r="T279" s="7">
        <v>2.79462683446882E-4</v>
      </c>
      <c r="U279" s="7">
        <v>9.3447374869603028E-2</v>
      </c>
      <c r="V279" s="7">
        <v>6.5235920165888808E-4</v>
      </c>
      <c r="W279" s="7">
        <v>0</v>
      </c>
      <c r="X279" s="7">
        <v>3.1926339179489832E-3</v>
      </c>
      <c r="Y279" s="7"/>
      <c r="Z279" s="14">
        <f>IFERROR(IF(INDEX('All GHED Countries'!$D$5:$AB$199,MATCH($B279,'All GHED Countries'!$B$5:$B$199,0),MATCH($D279,'All GHED Countries'!$D$4:$AB$4,0))="","",INDEX('All GHED Countries'!$D$5:$AB$199,MATCH($B279,'All GHED Countries'!$B$5:$B$199,0),MATCH($D279,'All GHED Countries'!$D$4:$AB$4,0))),"")</f>
        <v>8.99296188E-2</v>
      </c>
    </row>
    <row r="280" spans="1:26" x14ac:dyDescent="0.2">
      <c r="A280" s="6" t="s">
        <v>120</v>
      </c>
      <c r="B280" s="6" t="s">
        <v>121</v>
      </c>
      <c r="C280" s="6"/>
      <c r="D280" s="6" t="s">
        <v>27</v>
      </c>
      <c r="E280" s="6" t="s">
        <v>453</v>
      </c>
      <c r="F280" s="7">
        <v>0.20187181297336679</v>
      </c>
      <c r="G280" s="7">
        <v>6.0219794972318511E-2</v>
      </c>
      <c r="H280" s="7">
        <v>4.3727128403957052E-3</v>
      </c>
      <c r="I280" s="7">
        <v>6.5934025955507333E-2</v>
      </c>
      <c r="J280" s="7">
        <v>0.1079028714480211</v>
      </c>
      <c r="K280" s="7">
        <v>2.3320129927434471E-2</v>
      </c>
      <c r="L280" s="7">
        <v>2.2084310808817811E-2</v>
      </c>
      <c r="M280" s="12">
        <f t="shared" si="8"/>
        <v>8.8263661032991464E-2</v>
      </c>
      <c r="N280" s="7">
        <v>8.5469949877582801E-3</v>
      </c>
      <c r="O280" s="7">
        <v>0.1166645638135813</v>
      </c>
      <c r="P280" s="7">
        <v>0.3008191212398072</v>
      </c>
      <c r="Q280" s="7"/>
      <c r="R280" s="13">
        <f t="shared" si="9"/>
        <v>0.99999999999999978</v>
      </c>
      <c r="S280" s="7">
        <v>3.4239849372312298E-3</v>
      </c>
      <c r="T280" s="7">
        <v>4.6803105712373298E-4</v>
      </c>
      <c r="U280" s="7">
        <v>7.8550810332062862E-2</v>
      </c>
      <c r="V280" s="7">
        <v>6.7128681260143698E-4</v>
      </c>
      <c r="W280" s="7">
        <v>0</v>
      </c>
      <c r="X280" s="7">
        <v>5.1495478939722096E-3</v>
      </c>
      <c r="Y280" s="7"/>
      <c r="Z280" s="14">
        <f>IFERROR(IF(INDEX('All GHED Countries'!$D$5:$AB$199,MATCH($B280,'All GHED Countries'!$B$5:$B$199,0),MATCH($D280,'All GHED Countries'!$D$4:$AB$4,0))="","",INDEX('All GHED Countries'!$D$5:$AB$199,MATCH($B280,'All GHED Countries'!$B$5:$B$199,0),MATCH($D280,'All GHED Countries'!$D$4:$AB$4,0))),"")</f>
        <v>0.108982172</v>
      </c>
    </row>
    <row r="281" spans="1:26" x14ac:dyDescent="0.2">
      <c r="A281" s="6" t="s">
        <v>120</v>
      </c>
      <c r="B281" s="6" t="s">
        <v>121</v>
      </c>
      <c r="C281" s="6"/>
      <c r="D281" s="6" t="s">
        <v>28</v>
      </c>
      <c r="E281" s="6" t="s">
        <v>453</v>
      </c>
      <c r="F281" s="7">
        <v>0.1102741623182851</v>
      </c>
      <c r="G281" s="7">
        <v>6.5049811494380938E-2</v>
      </c>
      <c r="H281" s="7">
        <v>4.7612688094186796E-3</v>
      </c>
      <c r="I281" s="7">
        <v>7.7049551978967804E-2</v>
      </c>
      <c r="J281" s="7">
        <v>0.1633254414444211</v>
      </c>
      <c r="K281" s="7">
        <v>2.0434652115952912E-2</v>
      </c>
      <c r="L281" s="7">
        <v>2.0393803691541489E-2</v>
      </c>
      <c r="M281" s="12">
        <f t="shared" si="8"/>
        <v>9.5610202944199488E-2</v>
      </c>
      <c r="N281" s="7">
        <v>9.5850245851448433E-3</v>
      </c>
      <c r="O281" s="7">
        <v>0.12187320227171961</v>
      </c>
      <c r="P281" s="7">
        <v>0.31164287834596788</v>
      </c>
      <c r="Q281" s="7"/>
      <c r="R281" s="13">
        <f t="shared" si="9"/>
        <v>1</v>
      </c>
      <c r="S281" s="7">
        <v>3.8183738068654971E-3</v>
      </c>
      <c r="T281" s="7">
        <v>5.2058098776199001E-5</v>
      </c>
      <c r="U281" s="7">
        <v>8.4610736118509278E-2</v>
      </c>
      <c r="V281" s="7">
        <v>6.2879164252150797E-4</v>
      </c>
      <c r="W281" s="7">
        <v>0</v>
      </c>
      <c r="X281" s="7">
        <v>6.5002432775270024E-3</v>
      </c>
      <c r="Y281" s="7"/>
      <c r="Z281" s="14">
        <f>IFERROR(IF(INDEX('All GHED Countries'!$D$5:$AB$199,MATCH($B281,'All GHED Countries'!$B$5:$B$199,0),MATCH($D281,'All GHED Countries'!$D$4:$AB$4,0))="","",INDEX('All GHED Countries'!$D$5:$AB$199,MATCH($B281,'All GHED Countries'!$B$5:$B$199,0),MATCH($D281,'All GHED Countries'!$D$4:$AB$4,0))),"")</f>
        <v>8.6092090599999976E-2</v>
      </c>
    </row>
    <row r="282" spans="1:26" x14ac:dyDescent="0.2">
      <c r="A282" s="6" t="s">
        <v>120</v>
      </c>
      <c r="B282" s="6" t="s">
        <v>121</v>
      </c>
      <c r="C282" s="6"/>
      <c r="D282" s="6" t="s">
        <v>29</v>
      </c>
      <c r="E282" s="6" t="s">
        <v>453</v>
      </c>
      <c r="F282" s="7">
        <v>0.1467764761325093</v>
      </c>
      <c r="G282" s="7">
        <v>6.7924198121004226E-2</v>
      </c>
      <c r="H282" s="7">
        <v>4.1751567661225623E-3</v>
      </c>
      <c r="I282" s="7">
        <v>7.2422653735738557E-2</v>
      </c>
      <c r="J282" s="7">
        <v>0.10324470554943251</v>
      </c>
      <c r="K282" s="7">
        <v>2.061695981973986E-2</v>
      </c>
      <c r="L282" s="7">
        <v>1.8669433201036791E-2</v>
      </c>
      <c r="M282" s="12">
        <f t="shared" si="8"/>
        <v>8.5366629110486314E-2</v>
      </c>
      <c r="N282" s="7">
        <v>1.5094380390429421E-2</v>
      </c>
      <c r="O282" s="7">
        <v>0.12789560897483149</v>
      </c>
      <c r="P282" s="7">
        <v>0.3378137981986688</v>
      </c>
      <c r="Q282" s="7"/>
      <c r="R282" s="13">
        <f t="shared" si="9"/>
        <v>1</v>
      </c>
      <c r="S282" s="7">
        <v>5.7115220398689002E-5</v>
      </c>
      <c r="T282" s="7">
        <v>2.3315055728467989E-3</v>
      </c>
      <c r="U282" s="7">
        <v>7.9367396244147279E-2</v>
      </c>
      <c r="V282" s="7">
        <v>6.5640248662802894E-4</v>
      </c>
      <c r="W282" s="7">
        <v>0</v>
      </c>
      <c r="X282" s="7">
        <v>2.9542095864655169E-3</v>
      </c>
      <c r="Y282" s="7"/>
      <c r="Z282" s="14">
        <f>IFERROR(IF(INDEX('All GHED Countries'!$D$5:$AB$199,MATCH($B282,'All GHED Countries'!$B$5:$B$199,0),MATCH($D282,'All GHED Countries'!$D$4:$AB$4,0))="","",INDEX('All GHED Countries'!$D$5:$AB$199,MATCH($B282,'All GHED Countries'!$B$5:$B$199,0),MATCH($D282,'All GHED Countries'!$D$4:$AB$4,0))),"")</f>
        <v>8.2431125600000002E-2</v>
      </c>
    </row>
    <row r="283" spans="1:26" x14ac:dyDescent="0.2">
      <c r="A283" s="6" t="s">
        <v>120</v>
      </c>
      <c r="B283" s="6" t="s">
        <v>121</v>
      </c>
      <c r="C283" s="6"/>
      <c r="D283" s="6" t="s">
        <v>30</v>
      </c>
      <c r="E283" s="6" t="s">
        <v>453</v>
      </c>
      <c r="F283" s="7">
        <v>0.17521098481212691</v>
      </c>
      <c r="G283" s="7">
        <v>6.741888550916933E-2</v>
      </c>
      <c r="H283" s="7">
        <v>4.163021945034576E-3</v>
      </c>
      <c r="I283" s="7">
        <v>6.2944295033896841E-2</v>
      </c>
      <c r="J283" s="7">
        <v>9.6571639448909161E-2</v>
      </c>
      <c r="K283" s="7">
        <v>1.9345411400423951E-2</v>
      </c>
      <c r="L283" s="7">
        <v>2.7859773497751209E-2</v>
      </c>
      <c r="M283" s="12">
        <f t="shared" si="8"/>
        <v>8.0169110522329945E-2</v>
      </c>
      <c r="N283" s="7">
        <v>1.213126559337792E-2</v>
      </c>
      <c r="O283" s="7">
        <v>0.10323936517184711</v>
      </c>
      <c r="P283" s="7">
        <v>0.35094624706513439</v>
      </c>
      <c r="Q283" s="7"/>
      <c r="R283" s="13">
        <f t="shared" si="9"/>
        <v>1.0000000000000013</v>
      </c>
      <c r="S283" s="7">
        <v>0</v>
      </c>
      <c r="T283" s="7">
        <v>0</v>
      </c>
      <c r="U283" s="7">
        <v>7.3872951750073274E-2</v>
      </c>
      <c r="V283" s="7">
        <v>5.0592374558976097E-4</v>
      </c>
      <c r="W283" s="7">
        <v>0</v>
      </c>
      <c r="X283" s="7">
        <v>5.7902350266669121E-3</v>
      </c>
      <c r="Y283" s="7"/>
      <c r="Z283" s="14" t="str">
        <f>IFERROR(IF(INDEX('All GHED Countries'!$D$5:$AB$199,MATCH($B283,'All GHED Countries'!$B$5:$B$199,0),MATCH($D283,'All GHED Countries'!$D$4:$AB$4,0))="","",INDEX('All GHED Countries'!$D$5:$AB$199,MATCH($B283,'All GHED Countries'!$B$5:$B$199,0),MATCH($D283,'All GHED Countries'!$D$4:$AB$4,0))),"")</f>
        <v/>
      </c>
    </row>
    <row r="284" spans="1:26" x14ac:dyDescent="0.2">
      <c r="A284" s="6" t="s">
        <v>120</v>
      </c>
      <c r="B284" s="6" t="s">
        <v>121</v>
      </c>
      <c r="C284" s="6"/>
      <c r="D284" s="6" t="s">
        <v>454</v>
      </c>
      <c r="E284" s="6" t="s">
        <v>453</v>
      </c>
      <c r="F284" s="7">
        <v>0.16193402189412351</v>
      </c>
      <c r="G284" s="7">
        <v>6.9812586064913765E-2</v>
      </c>
      <c r="H284" s="7">
        <v>3.3862606315697009E-3</v>
      </c>
      <c r="I284" s="7">
        <v>6.1633527113284341E-2</v>
      </c>
      <c r="J284" s="7">
        <v>8.4770151835124305E-2</v>
      </c>
      <c r="K284" s="7">
        <v>2.4264362072877931E-2</v>
      </c>
      <c r="L284" s="7">
        <v>1.5820417434046791E-2</v>
      </c>
      <c r="M284" s="12">
        <f t="shared" si="8"/>
        <v>7.5616184244063481E-2</v>
      </c>
      <c r="N284" s="7">
        <v>1.054054909524786E-2</v>
      </c>
      <c r="O284" s="7">
        <v>0.10314590663704511</v>
      </c>
      <c r="P284" s="7">
        <v>0.38907636225221798</v>
      </c>
      <c r="Q284" s="7"/>
      <c r="R284" s="13">
        <f t="shared" si="9"/>
        <v>1.0000003292745148</v>
      </c>
      <c r="S284" s="7">
        <v>0</v>
      </c>
      <c r="T284" s="7">
        <v>0</v>
      </c>
      <c r="U284" s="7">
        <v>7.0612773709483795E-2</v>
      </c>
      <c r="V284" s="7">
        <v>3.7867958122273301E-4</v>
      </c>
      <c r="W284" s="7">
        <v>1.4444557213129101E-4</v>
      </c>
      <c r="X284" s="7">
        <v>4.4802853812256609E-3</v>
      </c>
      <c r="Y284" s="7"/>
      <c r="Z284" s="14" t="str">
        <f>IFERROR(IF(INDEX('All GHED Countries'!$D$5:$AB$199,MATCH($B284,'All GHED Countries'!$B$5:$B$199,0),MATCH($D284,'All GHED Countries'!$D$4:$AB$4,0))="","",INDEX('All GHED Countries'!$D$5:$AB$199,MATCH($B284,'All GHED Countries'!$B$5:$B$199,0),MATCH($D284,'All GHED Countries'!$D$4:$AB$4,0))),"")</f>
        <v/>
      </c>
    </row>
    <row r="285" spans="1:26" x14ac:dyDescent="0.2">
      <c r="A285" s="6" t="s">
        <v>122</v>
      </c>
      <c r="B285" s="6" t="s">
        <v>123</v>
      </c>
      <c r="C285" s="6"/>
      <c r="D285" s="6" t="s">
        <v>16</v>
      </c>
      <c r="E285" s="6" t="s">
        <v>453</v>
      </c>
      <c r="F285" s="7">
        <v>5.6605240674432157E-2</v>
      </c>
      <c r="G285" s="7">
        <v>1.428168053393113E-2</v>
      </c>
      <c r="H285" s="7">
        <v>3.7348605380875637E-2</v>
      </c>
      <c r="I285" s="7">
        <v>5.5733661305323992E-2</v>
      </c>
      <c r="J285" s="7">
        <v>0.18092265970748261</v>
      </c>
      <c r="K285" s="7">
        <v>0</v>
      </c>
      <c r="L285" s="7">
        <v>3.206073841394653E-3</v>
      </c>
      <c r="M285" s="12">
        <f t="shared" si="8"/>
        <v>8.4324460600774725E-2</v>
      </c>
      <c r="N285" s="7">
        <v>1.8307446485941379E-2</v>
      </c>
      <c r="O285" s="7">
        <v>0.16819682407732331</v>
      </c>
      <c r="P285" s="7">
        <v>0.36842338367612543</v>
      </c>
      <c r="Q285" s="7">
        <v>1.264996371639498E-2</v>
      </c>
      <c r="R285" s="13">
        <f t="shared" si="9"/>
        <v>0.99999999999999989</v>
      </c>
      <c r="S285" s="7"/>
      <c r="T285" s="7"/>
      <c r="U285" s="7"/>
      <c r="V285" s="7"/>
      <c r="W285" s="7"/>
      <c r="X285" s="7"/>
      <c r="Y285" s="7">
        <v>8.4324460600774725E-2</v>
      </c>
      <c r="Z285" s="14">
        <f>IFERROR(IF(INDEX('All GHED Countries'!$D$5:$AB$199,MATCH($B285,'All GHED Countries'!$B$5:$B$199,0),MATCH($D285,'All GHED Countries'!$D$4:$AB$4,0))="","",INDEX('All GHED Countries'!$D$5:$AB$199,MATCH($B285,'All GHED Countries'!$B$5:$B$199,0),MATCH($D285,'All GHED Countries'!$D$4:$AB$4,0))),"")</f>
        <v>7.7428665199999996E-2</v>
      </c>
    </row>
    <row r="286" spans="1:26" x14ac:dyDescent="0.2">
      <c r="A286" s="6" t="s">
        <v>122</v>
      </c>
      <c r="B286" s="6" t="s">
        <v>123</v>
      </c>
      <c r="C286" s="6"/>
      <c r="D286" s="6" t="s">
        <v>17</v>
      </c>
      <c r="E286" s="6" t="s">
        <v>453</v>
      </c>
      <c r="F286" s="7">
        <v>2.6037558235471069E-2</v>
      </c>
      <c r="G286" s="7">
        <v>8.1463731652429167E-3</v>
      </c>
      <c r="H286" s="7">
        <v>3.3012647804495747E-2</v>
      </c>
      <c r="I286" s="7">
        <v>4.3492514604993808E-2</v>
      </c>
      <c r="J286" s="7">
        <v>0.28497794829657402</v>
      </c>
      <c r="K286" s="7"/>
      <c r="L286" s="7">
        <v>5.6881032622980972E-3</v>
      </c>
      <c r="M286" s="12">
        <f t="shared" si="8"/>
        <v>7.1777420019029203E-2</v>
      </c>
      <c r="N286" s="7">
        <v>1.7897654273223412E-2</v>
      </c>
      <c r="O286" s="7">
        <v>0.138982490266336</v>
      </c>
      <c r="P286" s="7">
        <v>0.37853102776129999</v>
      </c>
      <c r="Q286" s="7"/>
      <c r="R286" s="13">
        <f t="shared" si="9"/>
        <v>1.0085437376889641</v>
      </c>
      <c r="S286" s="7"/>
      <c r="T286" s="7"/>
      <c r="U286" s="7"/>
      <c r="V286" s="7"/>
      <c r="W286" s="7"/>
      <c r="X286" s="7"/>
      <c r="Y286" s="7">
        <v>7.1777420019029203E-2</v>
      </c>
      <c r="Z286" s="14">
        <f>IFERROR(IF(INDEX('All GHED Countries'!$D$5:$AB$199,MATCH($B286,'All GHED Countries'!$B$5:$B$199,0),MATCH($D286,'All GHED Countries'!$D$4:$AB$4,0))="","",INDEX('All GHED Countries'!$D$5:$AB$199,MATCH($B286,'All GHED Countries'!$B$5:$B$199,0),MATCH($D286,'All GHED Countries'!$D$4:$AB$4,0))),"")</f>
        <v>5.6204299899999997E-2</v>
      </c>
    </row>
    <row r="287" spans="1:26" x14ac:dyDescent="0.2">
      <c r="A287" s="6" t="s">
        <v>122</v>
      </c>
      <c r="B287" s="6" t="s">
        <v>123</v>
      </c>
      <c r="C287" s="6"/>
      <c r="D287" s="6" t="s">
        <v>18</v>
      </c>
      <c r="E287" s="6" t="s">
        <v>453</v>
      </c>
      <c r="F287" s="7">
        <v>8.7989958703562882E-2</v>
      </c>
      <c r="G287" s="7">
        <v>2.0714920129004818E-2</v>
      </c>
      <c r="H287" s="7">
        <v>3.7201577028791913E-2</v>
      </c>
      <c r="I287" s="7">
        <v>4.6119946916681712E-2</v>
      </c>
      <c r="J287" s="7">
        <v>0.10685162870094039</v>
      </c>
      <c r="K287" s="7">
        <v>0</v>
      </c>
      <c r="L287" s="7">
        <v>1.162036287529737E-2</v>
      </c>
      <c r="M287" s="12">
        <f t="shared" si="8"/>
        <v>7.1694907354471996E-2</v>
      </c>
      <c r="N287" s="7">
        <v>1.39529295894683E-2</v>
      </c>
      <c r="O287" s="7">
        <v>0.1589128301384464</v>
      </c>
      <c r="P287" s="7">
        <v>0.36609725994401843</v>
      </c>
      <c r="Q287" s="7">
        <v>7.8843678619315793E-2</v>
      </c>
      <c r="R287" s="13">
        <f t="shared" si="9"/>
        <v>1</v>
      </c>
      <c r="S287" s="7"/>
      <c r="T287" s="7"/>
      <c r="U287" s="7"/>
      <c r="V287" s="7"/>
      <c r="W287" s="7"/>
      <c r="X287" s="7"/>
      <c r="Y287" s="7">
        <v>7.1694907354471996E-2</v>
      </c>
      <c r="Z287" s="14">
        <f>IFERROR(IF(INDEX('All GHED Countries'!$D$5:$AB$199,MATCH($B287,'All GHED Countries'!$B$5:$B$199,0),MATCH($D287,'All GHED Countries'!$D$4:$AB$4,0))="","",INDEX('All GHED Countries'!$D$5:$AB$199,MATCH($B287,'All GHED Countries'!$B$5:$B$199,0),MATCH($D287,'All GHED Countries'!$D$4:$AB$4,0))),"")</f>
        <v>6.5033869699999997E-2</v>
      </c>
    </row>
    <row r="288" spans="1:26" x14ac:dyDescent="0.2">
      <c r="A288" s="6" t="s">
        <v>122</v>
      </c>
      <c r="B288" s="6" t="s">
        <v>123</v>
      </c>
      <c r="C288" s="6"/>
      <c r="D288" s="6" t="s">
        <v>22</v>
      </c>
      <c r="E288" s="6" t="s">
        <v>453</v>
      </c>
      <c r="F288" s="7">
        <v>0.36662912116843849</v>
      </c>
      <c r="G288" s="7">
        <v>0.1049192346343072</v>
      </c>
      <c r="H288" s="7">
        <v>2.252667125829896E-2</v>
      </c>
      <c r="I288" s="7">
        <v>6.4223171545500488E-2</v>
      </c>
      <c r="J288" s="7">
        <v>0.12965054322969319</v>
      </c>
      <c r="K288" s="7">
        <v>4.668213925537827E-3</v>
      </c>
      <c r="L288" s="7">
        <v>5.6974791299399894E-3</v>
      </c>
      <c r="M288" s="12">
        <f t="shared" si="8"/>
        <v>5.2664350466473123E-2</v>
      </c>
      <c r="N288" s="7">
        <v>4.3005555690274339E-3</v>
      </c>
      <c r="O288" s="7">
        <v>3.5972206298540518E-2</v>
      </c>
      <c r="P288" s="7">
        <v>2.0874845277425299E-4</v>
      </c>
      <c r="Q288" s="7">
        <v>0.20853970432146851</v>
      </c>
      <c r="R288" s="13">
        <f t="shared" si="9"/>
        <v>0.99999999999999989</v>
      </c>
      <c r="S288" s="7">
        <v>0</v>
      </c>
      <c r="T288" s="7">
        <v>0</v>
      </c>
      <c r="U288" s="7">
        <v>3.9888367862312653E-2</v>
      </c>
      <c r="V288" s="7">
        <v>2.5434218006731772E-3</v>
      </c>
      <c r="W288" s="7">
        <v>0</v>
      </c>
      <c r="X288" s="7">
        <v>1.0232560803487291E-2</v>
      </c>
      <c r="Y288" s="7"/>
      <c r="Z288" s="14">
        <f>IFERROR(IF(INDEX('All GHED Countries'!$D$5:$AB$199,MATCH($B288,'All GHED Countries'!$B$5:$B$199,0),MATCH($D288,'All GHED Countries'!$D$4:$AB$4,0))="","",INDEX('All GHED Countries'!$D$5:$AB$199,MATCH($B288,'All GHED Countries'!$B$5:$B$199,0),MATCH($D288,'All GHED Countries'!$D$4:$AB$4,0))),"")</f>
        <v>6.4619765299999993E-2</v>
      </c>
    </row>
    <row r="289" spans="1:26" x14ac:dyDescent="0.2">
      <c r="A289" s="6" t="s">
        <v>122</v>
      </c>
      <c r="B289" s="6" t="s">
        <v>123</v>
      </c>
      <c r="C289" s="6"/>
      <c r="D289" s="6" t="s">
        <v>23</v>
      </c>
      <c r="E289" s="6" t="s">
        <v>453</v>
      </c>
      <c r="F289" s="7">
        <v>0.10157433448203849</v>
      </c>
      <c r="G289" s="7">
        <v>0.1297039296375509</v>
      </c>
      <c r="H289" s="7">
        <v>2.3922717650537089E-2</v>
      </c>
      <c r="I289" s="7">
        <v>7.375840172380066E-2</v>
      </c>
      <c r="J289" s="7">
        <v>7.7898449673228509E-2</v>
      </c>
      <c r="K289" s="7">
        <v>5.6807104589340924E-3</v>
      </c>
      <c r="L289" s="7">
        <v>7.8932863025840509E-3</v>
      </c>
      <c r="M289" s="12">
        <f t="shared" si="8"/>
        <v>6.1502167285412697E-2</v>
      </c>
      <c r="N289" s="7">
        <v>4.8648837824408261E-3</v>
      </c>
      <c r="O289" s="7">
        <v>2.821898009799861E-2</v>
      </c>
      <c r="P289" s="7">
        <v>0.48498213890547409</v>
      </c>
      <c r="Q289" s="7"/>
      <c r="R289" s="13">
        <f t="shared" si="9"/>
        <v>1</v>
      </c>
      <c r="S289" s="7">
        <v>0</v>
      </c>
      <c r="T289" s="7">
        <v>0</v>
      </c>
      <c r="U289" s="7">
        <v>4.6903610722553953E-2</v>
      </c>
      <c r="V289" s="7">
        <v>2.900777858844406E-3</v>
      </c>
      <c r="W289" s="7">
        <v>0</v>
      </c>
      <c r="X289" s="7">
        <v>1.1697778704014341E-2</v>
      </c>
      <c r="Y289" s="7"/>
      <c r="Z289" s="14">
        <f>IFERROR(IF(INDEX('All GHED Countries'!$D$5:$AB$199,MATCH($B289,'All GHED Countries'!$B$5:$B$199,0),MATCH($D289,'All GHED Countries'!$D$4:$AB$4,0))="","",INDEX('All GHED Countries'!$D$5:$AB$199,MATCH($B289,'All GHED Countries'!$B$5:$B$199,0),MATCH($D289,'All GHED Countries'!$D$4:$AB$4,0))),"")</f>
        <v>7.0231714200000017E-2</v>
      </c>
    </row>
    <row r="290" spans="1:26" x14ac:dyDescent="0.2">
      <c r="A290" s="6" t="s">
        <v>122</v>
      </c>
      <c r="B290" s="6" t="s">
        <v>123</v>
      </c>
      <c r="C290" s="6"/>
      <c r="D290" s="6" t="s">
        <v>24</v>
      </c>
      <c r="E290" s="6" t="s">
        <v>453</v>
      </c>
      <c r="F290" s="7">
        <v>0.15116877017859101</v>
      </c>
      <c r="G290" s="7">
        <v>0.1089757687422708</v>
      </c>
      <c r="H290" s="7">
        <v>2.7497264754433041E-2</v>
      </c>
      <c r="I290" s="7">
        <v>7.9400835270020786E-2</v>
      </c>
      <c r="J290" s="7">
        <v>7.9634714378835486E-2</v>
      </c>
      <c r="K290" s="7">
        <v>9.5304484582659291E-3</v>
      </c>
      <c r="L290" s="7">
        <v>2.566073924669776E-3</v>
      </c>
      <c r="M290" s="12">
        <f t="shared" si="8"/>
        <v>0.11134446068288967</v>
      </c>
      <c r="N290" s="7">
        <v>1.2393248927942869E-2</v>
      </c>
      <c r="O290" s="7">
        <v>0.20483349426023101</v>
      </c>
      <c r="P290" s="7">
        <v>0.21265492042184961</v>
      </c>
      <c r="Q290" s="7"/>
      <c r="R290" s="13">
        <f t="shared" si="9"/>
        <v>1</v>
      </c>
      <c r="S290" s="7">
        <v>0</v>
      </c>
      <c r="T290" s="7">
        <v>0</v>
      </c>
      <c r="U290" s="7">
        <v>5.6464072432251121E-2</v>
      </c>
      <c r="V290" s="7">
        <v>5.0085375568201723E-2</v>
      </c>
      <c r="W290" s="7">
        <v>0</v>
      </c>
      <c r="X290" s="7">
        <v>4.795012682436821E-3</v>
      </c>
      <c r="Y290" s="7"/>
      <c r="Z290" s="14">
        <f>IFERROR(IF(INDEX('All GHED Countries'!$D$5:$AB$199,MATCH($B290,'All GHED Countries'!$B$5:$B$199,0),MATCH($D290,'All GHED Countries'!$D$4:$AB$4,0))="","",INDEX('All GHED Countries'!$D$5:$AB$199,MATCH($B290,'All GHED Countries'!$B$5:$B$199,0),MATCH($D290,'All GHED Countries'!$D$4:$AB$4,0))),"")</f>
        <v>7.3763604199999999E-2</v>
      </c>
    </row>
    <row r="291" spans="1:26" x14ac:dyDescent="0.2">
      <c r="A291" s="6" t="s">
        <v>122</v>
      </c>
      <c r="B291" s="6" t="s">
        <v>123</v>
      </c>
      <c r="C291" s="6"/>
      <c r="D291" s="6" t="s">
        <v>25</v>
      </c>
      <c r="E291" s="6" t="s">
        <v>453</v>
      </c>
      <c r="F291" s="7">
        <v>0.29114555852831719</v>
      </c>
      <c r="G291" s="7">
        <v>7.093420949828641E-2</v>
      </c>
      <c r="H291" s="7">
        <v>3.2700227073861762E-2</v>
      </c>
      <c r="I291" s="7">
        <v>5.4095517692968741E-2</v>
      </c>
      <c r="J291" s="7">
        <v>6.816467668094689E-2</v>
      </c>
      <c r="K291" s="7">
        <v>9.5318582256024229E-3</v>
      </c>
      <c r="L291" s="7">
        <v>9.635006527046474E-3</v>
      </c>
      <c r="M291" s="12">
        <f t="shared" si="8"/>
        <v>6.8287315397137879E-2</v>
      </c>
      <c r="N291" s="7">
        <v>1.9322467377075311E-2</v>
      </c>
      <c r="O291" s="7">
        <v>0.1407755696028293</v>
      </c>
      <c r="P291" s="7">
        <v>0.23540759339593159</v>
      </c>
      <c r="Q291" s="7"/>
      <c r="R291" s="13">
        <f t="shared" si="9"/>
        <v>1.000000000000004</v>
      </c>
      <c r="S291" s="7">
        <v>0</v>
      </c>
      <c r="T291" s="7">
        <v>0</v>
      </c>
      <c r="U291" s="7">
        <v>5.3203302795577008E-2</v>
      </c>
      <c r="V291" s="7">
        <v>4.1137893589253986E-3</v>
      </c>
      <c r="W291" s="7">
        <v>0</v>
      </c>
      <c r="X291" s="7">
        <v>1.097022324263547E-2</v>
      </c>
      <c r="Y291" s="7"/>
      <c r="Z291" s="14">
        <f>IFERROR(IF(INDEX('All GHED Countries'!$D$5:$AB$199,MATCH($B291,'All GHED Countries'!$B$5:$B$199,0),MATCH($D291,'All GHED Countries'!$D$4:$AB$4,0))="","",INDEX('All GHED Countries'!$D$5:$AB$199,MATCH($B291,'All GHED Countries'!$B$5:$B$199,0),MATCH($D291,'All GHED Countries'!$D$4:$AB$4,0))),"")</f>
        <v>6.8780841799999992E-2</v>
      </c>
    </row>
    <row r="292" spans="1:26" x14ac:dyDescent="0.2">
      <c r="A292" s="6" t="s">
        <v>122</v>
      </c>
      <c r="B292" s="6" t="s">
        <v>123</v>
      </c>
      <c r="C292" s="6"/>
      <c r="D292" s="6" t="s">
        <v>26</v>
      </c>
      <c r="E292" s="6" t="s">
        <v>453</v>
      </c>
      <c r="F292" s="7">
        <v>0.28721288432213249</v>
      </c>
      <c r="G292" s="7">
        <v>6.3195447885827191E-2</v>
      </c>
      <c r="H292" s="7">
        <v>2.891094883736325E-2</v>
      </c>
      <c r="I292" s="7">
        <v>4.5101797422087683E-2</v>
      </c>
      <c r="J292" s="7">
        <v>6.6261605611457386E-2</v>
      </c>
      <c r="K292" s="7">
        <v>1.166407412428808E-2</v>
      </c>
      <c r="L292" s="7">
        <v>9.8564969411813474E-3</v>
      </c>
      <c r="M292" s="12">
        <f t="shared" si="8"/>
        <v>6.5255083020199917E-2</v>
      </c>
      <c r="N292" s="7">
        <v>1.762073124525184E-2</v>
      </c>
      <c r="O292" s="7">
        <v>0.1125677649019904</v>
      </c>
      <c r="P292" s="7">
        <v>0.29235316568822167</v>
      </c>
      <c r="Q292" s="7"/>
      <c r="R292" s="13">
        <f t="shared" si="9"/>
        <v>1.0000000000000013</v>
      </c>
      <c r="S292" s="7">
        <v>0</v>
      </c>
      <c r="T292" s="7">
        <v>0</v>
      </c>
      <c r="U292" s="7">
        <v>5.017304068483093E-2</v>
      </c>
      <c r="V292" s="7">
        <v>4.3051124613734029E-3</v>
      </c>
      <c r="W292" s="7">
        <v>0</v>
      </c>
      <c r="X292" s="7">
        <v>1.077692987399558E-2</v>
      </c>
      <c r="Y292" s="7"/>
      <c r="Z292" s="14">
        <f>IFERROR(IF(INDEX('All GHED Countries'!$D$5:$AB$199,MATCH($B292,'All GHED Countries'!$B$5:$B$199,0),MATCH($D292,'All GHED Countries'!$D$4:$AB$4,0))="","",INDEX('All GHED Countries'!$D$5:$AB$199,MATCH($B292,'All GHED Countries'!$B$5:$B$199,0),MATCH($D292,'All GHED Countries'!$D$4:$AB$4,0))),"")</f>
        <v>6.920670990000001E-2</v>
      </c>
    </row>
    <row r="293" spans="1:26" x14ac:dyDescent="0.2">
      <c r="A293" s="6" t="s">
        <v>122</v>
      </c>
      <c r="B293" s="6" t="s">
        <v>123</v>
      </c>
      <c r="C293" s="6"/>
      <c r="D293" s="6" t="s">
        <v>27</v>
      </c>
      <c r="E293" s="6" t="s">
        <v>453</v>
      </c>
      <c r="F293" s="7">
        <v>0.26186883693257618</v>
      </c>
      <c r="G293" s="7">
        <v>4.6674107055383808E-2</v>
      </c>
      <c r="H293" s="7">
        <v>2.4716190340209242E-2</v>
      </c>
      <c r="I293" s="7">
        <v>4.2854831663828662E-2</v>
      </c>
      <c r="J293" s="7">
        <v>7.0231305194102644E-2</v>
      </c>
      <c r="K293" s="7">
        <v>1.119415063364756E-2</v>
      </c>
      <c r="L293" s="7">
        <v>8.9531580984509758E-3</v>
      </c>
      <c r="M293" s="12">
        <f t="shared" si="8"/>
        <v>4.3292938390157652E-2</v>
      </c>
      <c r="N293" s="7">
        <v>1.502275689495221E-2</v>
      </c>
      <c r="O293" s="7">
        <v>9.9870433898254451E-2</v>
      </c>
      <c r="P293" s="7">
        <v>0.37532129089843952</v>
      </c>
      <c r="Q293" s="7"/>
      <c r="R293" s="13">
        <f t="shared" si="9"/>
        <v>1.0000000000000029</v>
      </c>
      <c r="S293" s="7">
        <v>0</v>
      </c>
      <c r="T293" s="7">
        <v>0</v>
      </c>
      <c r="U293" s="7">
        <v>2.740616981225015E-2</v>
      </c>
      <c r="V293" s="7">
        <v>2.6372805313087519E-3</v>
      </c>
      <c r="W293" s="7">
        <v>0</v>
      </c>
      <c r="X293" s="7">
        <v>1.3249488046598749E-2</v>
      </c>
      <c r="Y293" s="7"/>
      <c r="Z293" s="14">
        <f>IFERROR(IF(INDEX('All GHED Countries'!$D$5:$AB$199,MATCH($B293,'All GHED Countries'!$B$5:$B$199,0),MATCH($D293,'All GHED Countries'!$D$4:$AB$4,0))="","",INDEX('All GHED Countries'!$D$5:$AB$199,MATCH($B293,'All GHED Countries'!$B$5:$B$199,0),MATCH($D293,'All GHED Countries'!$D$4:$AB$4,0))),"")</f>
        <v>0.1173573017</v>
      </c>
    </row>
    <row r="294" spans="1:26" x14ac:dyDescent="0.2">
      <c r="A294" s="6" t="s">
        <v>122</v>
      </c>
      <c r="B294" s="6" t="s">
        <v>123</v>
      </c>
      <c r="C294" s="6"/>
      <c r="D294" s="6" t="s">
        <v>29</v>
      </c>
      <c r="E294" s="6" t="s">
        <v>453</v>
      </c>
      <c r="F294" s="7">
        <v>0.20606185497098251</v>
      </c>
      <c r="G294" s="7">
        <v>5.0532881709710722E-2</v>
      </c>
      <c r="H294" s="7">
        <v>2.9864688132147411E-2</v>
      </c>
      <c r="I294" s="7">
        <v>5.3212807818716422E-2</v>
      </c>
      <c r="J294" s="7">
        <v>8.0330458639952806E-2</v>
      </c>
      <c r="K294" s="7">
        <v>8.7270260671783988E-3</v>
      </c>
      <c r="L294" s="7">
        <v>2.8367447672551001E-2</v>
      </c>
      <c r="M294" s="12">
        <f t="shared" si="8"/>
        <v>9.5192101724943634E-2</v>
      </c>
      <c r="N294" s="7">
        <v>2.2305788831565612E-2</v>
      </c>
      <c r="O294" s="7">
        <v>0.1461154408335098</v>
      </c>
      <c r="P294" s="7">
        <v>0.27928950359874249</v>
      </c>
      <c r="Q294" s="7"/>
      <c r="R294" s="13">
        <f t="shared" si="9"/>
        <v>1.0000000000000009</v>
      </c>
      <c r="S294" s="7">
        <v>0</v>
      </c>
      <c r="T294" s="7">
        <v>0</v>
      </c>
      <c r="U294" s="7">
        <v>5.74366770776795E-2</v>
      </c>
      <c r="V294" s="7">
        <v>4.4650040877241949E-3</v>
      </c>
      <c r="W294" s="7">
        <v>0</v>
      </c>
      <c r="X294" s="7">
        <v>3.3290420559539943E-2</v>
      </c>
      <c r="Y294" s="7"/>
      <c r="Z294" s="14">
        <f>IFERROR(IF(INDEX('All GHED Countries'!$D$5:$AB$199,MATCH($B294,'All GHED Countries'!$B$5:$B$199,0),MATCH($D294,'All GHED Countries'!$D$4:$AB$4,0))="","",INDEX('All GHED Countries'!$D$5:$AB$199,MATCH($B294,'All GHED Countries'!$B$5:$B$199,0),MATCH($D294,'All GHED Countries'!$D$4:$AB$4,0))),"")</f>
        <v>8.5609340699999981E-2</v>
      </c>
    </row>
    <row r="295" spans="1:26" x14ac:dyDescent="0.2">
      <c r="A295" s="6" t="s">
        <v>122</v>
      </c>
      <c r="B295" s="6" t="s">
        <v>123</v>
      </c>
      <c r="C295" s="6"/>
      <c r="D295" s="6" t="s">
        <v>30</v>
      </c>
      <c r="E295" s="6" t="s">
        <v>453</v>
      </c>
      <c r="F295" s="7">
        <v>0.2403135870191786</v>
      </c>
      <c r="G295" s="7">
        <v>4.0173004932462862E-2</v>
      </c>
      <c r="H295" s="7">
        <v>3.3062657843855099E-2</v>
      </c>
      <c r="I295" s="7">
        <v>5.8275833356766969E-2</v>
      </c>
      <c r="J295" s="7">
        <v>9.7537866323498756E-2</v>
      </c>
      <c r="K295" s="7">
        <v>9.3750902373912013E-3</v>
      </c>
      <c r="L295" s="7">
        <v>2.8459892882537009E-2</v>
      </c>
      <c r="M295" s="12">
        <f t="shared" si="8"/>
        <v>8.4619715749359017E-2</v>
      </c>
      <c r="N295" s="7">
        <v>1.8068379734312572E-2</v>
      </c>
      <c r="O295" s="7">
        <v>0.1384354196841876</v>
      </c>
      <c r="P295" s="7">
        <v>0.25167855223645041</v>
      </c>
      <c r="Q295" s="7"/>
      <c r="R295" s="13">
        <f t="shared" si="9"/>
        <v>1</v>
      </c>
      <c r="S295" s="7">
        <v>0</v>
      </c>
      <c r="T295" s="7">
        <v>0</v>
      </c>
      <c r="U295" s="7">
        <v>8.5342557224569165E-3</v>
      </c>
      <c r="V295" s="7">
        <v>3.3060322038799689E-3</v>
      </c>
      <c r="W295" s="7">
        <v>0</v>
      </c>
      <c r="X295" s="7">
        <v>7.277942782302213E-2</v>
      </c>
      <c r="Y295" s="7"/>
      <c r="Z295" s="14" t="str">
        <f>IFERROR(IF(INDEX('All GHED Countries'!$D$5:$AB$199,MATCH($B295,'All GHED Countries'!$B$5:$B$199,0),MATCH($D295,'All GHED Countries'!$D$4:$AB$4,0))="","",INDEX('All GHED Countries'!$D$5:$AB$199,MATCH($B295,'All GHED Countries'!$B$5:$B$199,0),MATCH($D295,'All GHED Countries'!$D$4:$AB$4,0))),"")</f>
        <v/>
      </c>
    </row>
    <row r="296" spans="1:26" x14ac:dyDescent="0.2">
      <c r="A296" s="6" t="s">
        <v>124</v>
      </c>
      <c r="B296" s="6" t="s">
        <v>125</v>
      </c>
      <c r="C296" s="6" t="s">
        <v>49</v>
      </c>
      <c r="D296" s="6" t="s">
        <v>16</v>
      </c>
      <c r="E296" s="6" t="s">
        <v>452</v>
      </c>
      <c r="F296" s="7">
        <v>0.25504226372916888</v>
      </c>
      <c r="G296" s="7">
        <v>2.641995873684513E-2</v>
      </c>
      <c r="H296" s="7">
        <v>2.7690545040080481E-2</v>
      </c>
      <c r="I296" s="7">
        <v>6.6950941929027299E-2</v>
      </c>
      <c r="J296" s="7">
        <v>0.2192746394485362</v>
      </c>
      <c r="K296" s="7">
        <v>3.735366948899269E-3</v>
      </c>
      <c r="L296" s="7">
        <v>5.9894370177719577E-2</v>
      </c>
      <c r="M296" s="12">
        <f t="shared" si="8"/>
        <v>8.0022255115649144E-2</v>
      </c>
      <c r="N296" s="7">
        <v>1.3291738386305501E-2</v>
      </c>
      <c r="O296" s="7">
        <v>0.20290979816619259</v>
      </c>
      <c r="P296" s="7">
        <v>6.3241274779194293E-2</v>
      </c>
      <c r="Q296" s="7"/>
      <c r="R296" s="13">
        <f t="shared" si="9"/>
        <v>1.0184731524576185</v>
      </c>
      <c r="S296" s="7"/>
      <c r="T296" s="7"/>
      <c r="U296" s="7"/>
      <c r="V296" s="7"/>
      <c r="W296" s="7"/>
      <c r="X296" s="7"/>
      <c r="Y296" s="7">
        <v>8.0022255115649144E-2</v>
      </c>
      <c r="Z296" s="14">
        <f>IFERROR(IF(INDEX('All GHED Countries'!$D$5:$AB$199,MATCH($B296,'All GHED Countries'!$B$5:$B$199,0),MATCH($D296,'All GHED Countries'!$D$4:$AB$4,0))="","",INDEX('All GHED Countries'!$D$5:$AB$199,MATCH($B296,'All GHED Countries'!$B$5:$B$199,0),MATCH($D296,'All GHED Countries'!$D$4:$AB$4,0))),"")</f>
        <v>4.6724147799999977E-2</v>
      </c>
    </row>
    <row r="297" spans="1:26" x14ac:dyDescent="0.2">
      <c r="A297" s="6" t="s">
        <v>124</v>
      </c>
      <c r="B297" s="6" t="s">
        <v>125</v>
      </c>
      <c r="C297" s="6" t="s">
        <v>49</v>
      </c>
      <c r="D297" s="6" t="s">
        <v>17</v>
      </c>
      <c r="E297" s="6" t="s">
        <v>452</v>
      </c>
      <c r="F297" s="7">
        <v>0.25303327752869148</v>
      </c>
      <c r="G297" s="7">
        <v>2.9092534349749011E-2</v>
      </c>
      <c r="H297" s="7">
        <v>3.013585465615223E-2</v>
      </c>
      <c r="I297" s="7">
        <v>6.4622653308874609E-2</v>
      </c>
      <c r="J297" s="7">
        <v>0.18596296943018151</v>
      </c>
      <c r="K297" s="7">
        <v>1.0308147493783939E-2</v>
      </c>
      <c r="L297" s="7">
        <v>5.510475557458995E-2</v>
      </c>
      <c r="M297" s="12">
        <f t="shared" si="8"/>
        <v>7.8167417851291235E-2</v>
      </c>
      <c r="N297" s="7">
        <v>3.7784907270443341E-2</v>
      </c>
      <c r="O297" s="7">
        <v>0.1985637552903782</v>
      </c>
      <c r="P297" s="7">
        <v>7.1008635855406621E-2</v>
      </c>
      <c r="Q297" s="7"/>
      <c r="R297" s="13">
        <f t="shared" si="9"/>
        <v>1.0137849086095421</v>
      </c>
      <c r="S297" s="7"/>
      <c r="T297" s="7"/>
      <c r="U297" s="7"/>
      <c r="V297" s="7"/>
      <c r="W297" s="7"/>
      <c r="X297" s="7"/>
      <c r="Y297" s="7">
        <v>7.8167417851291235E-2</v>
      </c>
      <c r="Z297" s="14">
        <f>IFERROR(IF(INDEX('All GHED Countries'!$D$5:$AB$199,MATCH($B297,'All GHED Countries'!$B$5:$B$199,0),MATCH($D297,'All GHED Countries'!$D$4:$AB$4,0))="","",INDEX('All GHED Countries'!$D$5:$AB$199,MATCH($B297,'All GHED Countries'!$B$5:$B$199,0),MATCH($D297,'All GHED Countries'!$D$4:$AB$4,0))),"")</f>
        <v>4.3442201600000001E-2</v>
      </c>
    </row>
    <row r="298" spans="1:26" x14ac:dyDescent="0.2">
      <c r="A298" s="6" t="s">
        <v>124</v>
      </c>
      <c r="B298" s="6" t="s">
        <v>125</v>
      </c>
      <c r="C298" s="6" t="s">
        <v>49</v>
      </c>
      <c r="D298" s="6" t="s">
        <v>22</v>
      </c>
      <c r="E298" s="6" t="s">
        <v>452</v>
      </c>
      <c r="F298" s="7">
        <v>0.2139335685453603</v>
      </c>
      <c r="G298" s="7">
        <v>8.1093448314128694E-2</v>
      </c>
      <c r="H298" s="7">
        <v>3.8913158987912151E-2</v>
      </c>
      <c r="I298" s="7">
        <v>9.2974817427357734E-2</v>
      </c>
      <c r="J298" s="7">
        <v>0.15610876320772379</v>
      </c>
      <c r="K298" s="7">
        <v>6.4478196305803514E-3</v>
      </c>
      <c r="L298" s="7">
        <v>4.6028400116229447E-2</v>
      </c>
      <c r="M298" s="12">
        <f t="shared" si="8"/>
        <v>9.679445016791717E-2</v>
      </c>
      <c r="N298" s="7">
        <v>7.0118414393915236E-3</v>
      </c>
      <c r="O298" s="7">
        <v>0.21950996175215201</v>
      </c>
      <c r="P298" s="7">
        <v>4.1183770411247843E-2</v>
      </c>
      <c r="Q298" s="7"/>
      <c r="R298" s="13">
        <f t="shared" si="9"/>
        <v>1.0000000000000011</v>
      </c>
      <c r="S298" s="7">
        <v>1.393602062748411E-2</v>
      </c>
      <c r="T298" s="7">
        <v>0</v>
      </c>
      <c r="U298" s="7">
        <v>1.9074356166823389E-2</v>
      </c>
      <c r="V298" s="7">
        <v>1.392746821272324E-2</v>
      </c>
      <c r="W298" s="7">
        <v>0</v>
      </c>
      <c r="X298" s="7">
        <v>4.9856605160886427E-2</v>
      </c>
      <c r="Y298" s="7"/>
      <c r="Z298" s="14">
        <f>IFERROR(IF(INDEX('All GHED Countries'!$D$5:$AB$199,MATCH($B298,'All GHED Countries'!$B$5:$B$199,0),MATCH($D298,'All GHED Countries'!$D$4:$AB$4,0))="","",INDEX('All GHED Countries'!$D$5:$AB$199,MATCH($B298,'All GHED Countries'!$B$5:$B$199,0),MATCH($D298,'All GHED Countries'!$D$4:$AB$4,0))),"")</f>
        <v>5.9959621399999989E-2</v>
      </c>
    </row>
    <row r="299" spans="1:26" x14ac:dyDescent="0.2">
      <c r="A299" s="6" t="s">
        <v>124</v>
      </c>
      <c r="B299" s="6" t="s">
        <v>125</v>
      </c>
      <c r="C299" s="6" t="s">
        <v>49</v>
      </c>
      <c r="D299" s="6" t="s">
        <v>23</v>
      </c>
      <c r="E299" s="6" t="s">
        <v>452</v>
      </c>
      <c r="F299" s="7">
        <v>0.23060596939294661</v>
      </c>
      <c r="G299" s="7">
        <v>8.7973277736975664E-2</v>
      </c>
      <c r="H299" s="7">
        <v>4.0341009074990053E-2</v>
      </c>
      <c r="I299" s="7">
        <v>0.10233170852881431</v>
      </c>
      <c r="J299" s="7">
        <v>0.1231120275283157</v>
      </c>
      <c r="K299" s="7">
        <v>1.086894995847097E-2</v>
      </c>
      <c r="L299" s="7">
        <v>4.4141919033781001E-2</v>
      </c>
      <c r="M299" s="12">
        <f t="shared" si="8"/>
        <v>9.4723376062680359E-2</v>
      </c>
      <c r="N299" s="7">
        <v>5.9737229550116018E-3</v>
      </c>
      <c r="O299" s="7">
        <v>0.2384867115532715</v>
      </c>
      <c r="P299" s="7">
        <v>2.144132817474283E-2</v>
      </c>
      <c r="Q299" s="7"/>
      <c r="R299" s="13">
        <f t="shared" si="9"/>
        <v>1.0000000000000004</v>
      </c>
      <c r="S299" s="7">
        <v>1.72968916394594E-2</v>
      </c>
      <c r="T299" s="7">
        <v>1.2715236224191499E-4</v>
      </c>
      <c r="U299" s="7">
        <v>2.1665154712209811E-2</v>
      </c>
      <c r="V299" s="7">
        <v>1.5991005735748659E-2</v>
      </c>
      <c r="W299" s="7">
        <v>0</v>
      </c>
      <c r="X299" s="7">
        <v>3.9643171613020577E-2</v>
      </c>
      <c r="Y299" s="7"/>
      <c r="Z299" s="14">
        <f>IFERROR(IF(INDEX('All GHED Countries'!$D$5:$AB$199,MATCH($B299,'All GHED Countries'!$B$5:$B$199,0),MATCH($D299,'All GHED Countries'!$D$4:$AB$4,0))="","",INDEX('All GHED Countries'!$D$5:$AB$199,MATCH($B299,'All GHED Countries'!$B$5:$B$199,0),MATCH($D299,'All GHED Countries'!$D$4:$AB$4,0))),"")</f>
        <v>6.0745649300000003E-2</v>
      </c>
    </row>
    <row r="300" spans="1:26" x14ac:dyDescent="0.2">
      <c r="A300" s="6" t="s">
        <v>124</v>
      </c>
      <c r="B300" s="6" t="s">
        <v>125</v>
      </c>
      <c r="C300" s="6" t="s">
        <v>49</v>
      </c>
      <c r="D300" s="6" t="s">
        <v>24</v>
      </c>
      <c r="E300" s="6" t="s">
        <v>452</v>
      </c>
      <c r="F300" s="7">
        <v>0.20625620927873589</v>
      </c>
      <c r="G300" s="7">
        <v>0.10410182774162539</v>
      </c>
      <c r="H300" s="7">
        <v>4.5289001874986939E-2</v>
      </c>
      <c r="I300" s="7">
        <v>9.4855940885662113E-2</v>
      </c>
      <c r="J300" s="7">
        <v>0.18175286527020901</v>
      </c>
      <c r="K300" s="7">
        <v>1.422667319166767E-2</v>
      </c>
      <c r="L300" s="7">
        <v>3.6371076370324627E-2</v>
      </c>
      <c r="M300" s="12">
        <f t="shared" si="8"/>
        <v>8.8144215540696028E-2</v>
      </c>
      <c r="N300" s="7">
        <v>4.9072185703057554E-3</v>
      </c>
      <c r="O300" s="7">
        <v>0.19881124738366401</v>
      </c>
      <c r="P300" s="7">
        <v>2.5283723892122609E-2</v>
      </c>
      <c r="Q300" s="7"/>
      <c r="R300" s="13">
        <f t="shared" si="9"/>
        <v>1.0000000000000002</v>
      </c>
      <c r="S300" s="7">
        <v>6.9049622113024592E-4</v>
      </c>
      <c r="T300" s="7">
        <v>1.776473428031056E-2</v>
      </c>
      <c r="U300" s="7">
        <v>1.07260041605876E-2</v>
      </c>
      <c r="V300" s="7">
        <v>8.3699721772633288E-3</v>
      </c>
      <c r="W300" s="7">
        <v>1.8428615210774671E-2</v>
      </c>
      <c r="X300" s="7">
        <v>3.216439349062962E-2</v>
      </c>
      <c r="Y300" s="7"/>
      <c r="Z300" s="14">
        <f>IFERROR(IF(INDEX('All GHED Countries'!$D$5:$AB$199,MATCH($B300,'All GHED Countries'!$B$5:$B$199,0),MATCH($D300,'All GHED Countries'!$D$4:$AB$4,0))="","",INDEX('All GHED Countries'!$D$5:$AB$199,MATCH($B300,'All GHED Countries'!$B$5:$B$199,0),MATCH($D300,'All GHED Countries'!$D$4:$AB$4,0))),"")</f>
        <v>5.7316060100000003E-2</v>
      </c>
    </row>
    <row r="301" spans="1:26" x14ac:dyDescent="0.2">
      <c r="A301" s="6" t="s">
        <v>124</v>
      </c>
      <c r="B301" s="6" t="s">
        <v>125</v>
      </c>
      <c r="C301" s="6" t="s">
        <v>49</v>
      </c>
      <c r="D301" s="6" t="s">
        <v>25</v>
      </c>
      <c r="E301" s="6" t="s">
        <v>452</v>
      </c>
      <c r="F301" s="7">
        <v>0.25468442530468799</v>
      </c>
      <c r="G301" s="7">
        <v>0.1113756077790279</v>
      </c>
      <c r="H301" s="7">
        <v>4.7356234404673972E-2</v>
      </c>
      <c r="I301" s="7">
        <v>0.10605305869120631</v>
      </c>
      <c r="J301" s="7">
        <v>9.4870312550123431E-2</v>
      </c>
      <c r="K301" s="7">
        <v>1.287364582209948E-2</v>
      </c>
      <c r="L301" s="7">
        <v>3.9404473644023941E-2</v>
      </c>
      <c r="M301" s="12">
        <f t="shared" si="8"/>
        <v>8.5045492555181873E-2</v>
      </c>
      <c r="N301" s="7">
        <v>5.0184861312302367E-3</v>
      </c>
      <c r="O301" s="7">
        <v>0.2193555059119455</v>
      </c>
      <c r="P301" s="7">
        <v>2.3962757205799282E-2</v>
      </c>
      <c r="Q301" s="7"/>
      <c r="R301" s="13">
        <f t="shared" si="9"/>
        <v>1</v>
      </c>
      <c r="S301" s="7">
        <v>1.8067519720243359E-2</v>
      </c>
      <c r="T301" s="7">
        <v>0</v>
      </c>
      <c r="U301" s="7">
        <v>1.9861514411682549E-2</v>
      </c>
      <c r="V301" s="7">
        <v>2.1211552139137928E-2</v>
      </c>
      <c r="W301" s="7">
        <v>0</v>
      </c>
      <c r="X301" s="7">
        <v>2.590490628411804E-2</v>
      </c>
      <c r="Y301" s="7"/>
      <c r="Z301" s="14">
        <f>IFERROR(IF(INDEX('All GHED Countries'!$D$5:$AB$199,MATCH($B301,'All GHED Countries'!$B$5:$B$199,0),MATCH($D301,'All GHED Countries'!$D$4:$AB$4,0))="","",INDEX('All GHED Countries'!$D$5:$AB$199,MATCH($B301,'All GHED Countries'!$B$5:$B$199,0),MATCH($D301,'All GHED Countries'!$D$4:$AB$4,0))),"")</f>
        <v>6.5206022299999999E-2</v>
      </c>
    </row>
    <row r="302" spans="1:26" x14ac:dyDescent="0.2">
      <c r="A302" s="6" t="s">
        <v>124</v>
      </c>
      <c r="B302" s="6" t="s">
        <v>125</v>
      </c>
      <c r="C302" s="6" t="s">
        <v>49</v>
      </c>
      <c r="D302" s="6" t="s">
        <v>26</v>
      </c>
      <c r="E302" s="6" t="s">
        <v>452</v>
      </c>
      <c r="F302" s="7">
        <v>0.19591840878102229</v>
      </c>
      <c r="G302" s="7">
        <v>8.9616537499870946E-2</v>
      </c>
      <c r="H302" s="7">
        <v>6.9282996270634126E-2</v>
      </c>
      <c r="I302" s="7">
        <v>0.1331610056754659</v>
      </c>
      <c r="J302" s="7">
        <v>9.3663024229437036E-2</v>
      </c>
      <c r="K302" s="7">
        <v>1.807784634291364E-2</v>
      </c>
      <c r="L302" s="7">
        <v>3.6974884734050889E-2</v>
      </c>
      <c r="M302" s="12">
        <f t="shared" si="8"/>
        <v>0.10537417010254907</v>
      </c>
      <c r="N302" s="7">
        <v>4.753126784527043E-3</v>
      </c>
      <c r="O302" s="7">
        <v>0.20664856952479221</v>
      </c>
      <c r="P302" s="7">
        <v>4.6529430054736948E-2</v>
      </c>
      <c r="Q302" s="7"/>
      <c r="R302" s="13">
        <f t="shared" si="9"/>
        <v>1.0000000000000002</v>
      </c>
      <c r="S302" s="7">
        <v>2.614302389212806E-2</v>
      </c>
      <c r="T302" s="7">
        <v>6.3049019552060001E-6</v>
      </c>
      <c r="U302" s="7">
        <v>2.2907843172981779E-2</v>
      </c>
      <c r="V302" s="7">
        <v>2.2079288705447741E-2</v>
      </c>
      <c r="W302" s="7">
        <v>6.7001564551926818E-3</v>
      </c>
      <c r="X302" s="7">
        <v>2.7537552974843591E-2</v>
      </c>
      <c r="Y302" s="7"/>
      <c r="Z302" s="14">
        <f>IFERROR(IF(INDEX('All GHED Countries'!$D$5:$AB$199,MATCH($B302,'All GHED Countries'!$B$5:$B$199,0),MATCH($D302,'All GHED Countries'!$D$4:$AB$4,0))="","",INDEX('All GHED Countries'!$D$5:$AB$199,MATCH($B302,'All GHED Countries'!$B$5:$B$199,0),MATCH($D302,'All GHED Countries'!$D$4:$AB$4,0))),"")</f>
        <v>7.0641245800000002E-2</v>
      </c>
    </row>
    <row r="303" spans="1:26" x14ac:dyDescent="0.2">
      <c r="A303" s="6" t="s">
        <v>124</v>
      </c>
      <c r="B303" s="6" t="s">
        <v>125</v>
      </c>
      <c r="C303" s="6" t="s">
        <v>49</v>
      </c>
      <c r="D303" s="6" t="s">
        <v>27</v>
      </c>
      <c r="E303" s="6" t="s">
        <v>452</v>
      </c>
      <c r="F303" s="7">
        <v>0.2094057239368165</v>
      </c>
      <c r="G303" s="7">
        <v>8.4031535212450437E-2</v>
      </c>
      <c r="H303" s="7">
        <v>6.9102729853628655E-2</v>
      </c>
      <c r="I303" s="7">
        <v>0.1479052359668358</v>
      </c>
      <c r="J303" s="7">
        <v>9.6215318959589111E-2</v>
      </c>
      <c r="K303" s="7">
        <v>1.7285611504934139E-2</v>
      </c>
      <c r="L303" s="7">
        <v>2.7675223704782391E-2</v>
      </c>
      <c r="M303" s="12">
        <f t="shared" si="8"/>
        <v>9.7703796091874767E-2</v>
      </c>
      <c r="N303" s="7">
        <v>6.0223893748595622E-3</v>
      </c>
      <c r="O303" s="7">
        <v>0.21077663336099031</v>
      </c>
      <c r="P303" s="7">
        <v>3.3875802033238353E-2</v>
      </c>
      <c r="Q303" s="7"/>
      <c r="R303" s="13">
        <f t="shared" si="9"/>
        <v>0.99999999999999989</v>
      </c>
      <c r="S303" s="7">
        <v>2.0042937303357541E-2</v>
      </c>
      <c r="T303" s="7">
        <v>0</v>
      </c>
      <c r="U303" s="7">
        <v>2.0443434780254802E-2</v>
      </c>
      <c r="V303" s="7">
        <v>2.2203978896482349E-2</v>
      </c>
      <c r="W303" s="7">
        <v>0</v>
      </c>
      <c r="X303" s="7">
        <v>3.5013445111780082E-2</v>
      </c>
      <c r="Y303" s="7"/>
      <c r="Z303" s="14">
        <f>IFERROR(IF(INDEX('All GHED Countries'!$D$5:$AB$199,MATCH($B303,'All GHED Countries'!$B$5:$B$199,0),MATCH($D303,'All GHED Countries'!$D$4:$AB$4,0))="","",INDEX('All GHED Countries'!$D$5:$AB$199,MATCH($B303,'All GHED Countries'!$B$5:$B$199,0),MATCH($D303,'All GHED Countries'!$D$4:$AB$4,0))),"")</f>
        <v>7.1126351399999996E-2</v>
      </c>
    </row>
    <row r="304" spans="1:26" x14ac:dyDescent="0.2">
      <c r="A304" s="6" t="s">
        <v>124</v>
      </c>
      <c r="B304" s="6" t="s">
        <v>125</v>
      </c>
      <c r="C304" s="6" t="s">
        <v>49</v>
      </c>
      <c r="D304" s="6" t="s">
        <v>28</v>
      </c>
      <c r="E304" s="6" t="s">
        <v>452</v>
      </c>
      <c r="F304" s="7">
        <v>0.26439566572755979</v>
      </c>
      <c r="G304" s="7">
        <v>9.2725130907221717E-2</v>
      </c>
      <c r="H304" s="7">
        <v>6.8649097658098998E-2</v>
      </c>
      <c r="I304" s="7">
        <v>0.13061301628916641</v>
      </c>
      <c r="J304" s="7">
        <v>7.8622417573919981E-2</v>
      </c>
      <c r="K304" s="7">
        <v>2.403379959210333E-2</v>
      </c>
      <c r="L304" s="7">
        <v>2.2665369293856139E-2</v>
      </c>
      <c r="M304" s="12">
        <f t="shared" si="8"/>
        <v>0.10077861390792515</v>
      </c>
      <c r="N304" s="7">
        <v>5.5282031777153439E-3</v>
      </c>
      <c r="O304" s="7">
        <v>0.18980695666056821</v>
      </c>
      <c r="P304" s="7">
        <v>2.218172921186504E-2</v>
      </c>
      <c r="Q304" s="7"/>
      <c r="R304" s="13">
        <f t="shared" si="9"/>
        <v>1</v>
      </c>
      <c r="S304" s="7">
        <v>1.7803889178652471E-2</v>
      </c>
      <c r="T304" s="7">
        <v>6.3293768372771E-5</v>
      </c>
      <c r="U304" s="7">
        <v>2.074613806640677E-2</v>
      </c>
      <c r="V304" s="7">
        <v>3.7871045542630148E-2</v>
      </c>
      <c r="W304" s="7">
        <v>7.829545621282401E-5</v>
      </c>
      <c r="X304" s="7">
        <v>2.4215951895650161E-2</v>
      </c>
      <c r="Y304" s="7"/>
      <c r="Z304" s="14">
        <f>IFERROR(IF(INDEX('All GHED Countries'!$D$5:$AB$199,MATCH($B304,'All GHED Countries'!$B$5:$B$199,0),MATCH($D304,'All GHED Countries'!$D$4:$AB$4,0))="","",INDEX('All GHED Countries'!$D$5:$AB$199,MATCH($B304,'All GHED Countries'!$B$5:$B$199,0),MATCH($D304,'All GHED Countries'!$D$4:$AB$4,0))),"")</f>
        <v>6.9572682400000002E-2</v>
      </c>
    </row>
    <row r="305" spans="1:26" x14ac:dyDescent="0.2">
      <c r="A305" s="6" t="s">
        <v>124</v>
      </c>
      <c r="B305" s="6" t="s">
        <v>125</v>
      </c>
      <c r="C305" s="6" t="s">
        <v>49</v>
      </c>
      <c r="D305" s="6" t="s">
        <v>29</v>
      </c>
      <c r="E305" s="6" t="s">
        <v>452</v>
      </c>
      <c r="F305" s="7">
        <v>0.2316249285962616</v>
      </c>
      <c r="G305" s="7">
        <v>0.12410589286240389</v>
      </c>
      <c r="H305" s="7">
        <v>7.0284485367854491E-2</v>
      </c>
      <c r="I305" s="7">
        <v>0.1450467571759583</v>
      </c>
      <c r="J305" s="7">
        <v>7.5822203267796637E-2</v>
      </c>
      <c r="K305" s="7">
        <v>1.3104137618450371E-2</v>
      </c>
      <c r="L305" s="7">
        <v>1.3450268519222279E-2</v>
      </c>
      <c r="M305" s="12">
        <f t="shared" si="8"/>
        <v>0.11787688643287199</v>
      </c>
      <c r="N305" s="7">
        <v>5.9888055181223608E-3</v>
      </c>
      <c r="O305" s="7">
        <v>0.18925744376706349</v>
      </c>
      <c r="P305" s="7">
        <v>1.343819087399457E-2</v>
      </c>
      <c r="Q305" s="7"/>
      <c r="R305" s="13">
        <f t="shared" si="9"/>
        <v>0.99999999999999989</v>
      </c>
      <c r="S305" s="7">
        <v>2.321494576393613E-2</v>
      </c>
      <c r="T305" s="7">
        <v>1.1529357528319999E-6</v>
      </c>
      <c r="U305" s="7">
        <v>2.1957581629538231E-2</v>
      </c>
      <c r="V305" s="7">
        <v>5.1021640715733403E-2</v>
      </c>
      <c r="W305" s="7">
        <v>0</v>
      </c>
      <c r="X305" s="7">
        <v>2.1681565387911401E-2</v>
      </c>
      <c r="Y305" s="7"/>
      <c r="Z305" s="14">
        <f>IFERROR(IF(INDEX('All GHED Countries'!$D$5:$AB$199,MATCH($B305,'All GHED Countries'!$B$5:$B$199,0),MATCH($D305,'All GHED Countries'!$D$4:$AB$4,0))="","",INDEX('All GHED Countries'!$D$5:$AB$199,MATCH($B305,'All GHED Countries'!$B$5:$B$199,0),MATCH($D305,'All GHED Countries'!$D$4:$AB$4,0))),"")</f>
        <v>6.7625646599999992E-2</v>
      </c>
    </row>
    <row r="306" spans="1:26" x14ac:dyDescent="0.2">
      <c r="A306" s="6" t="s">
        <v>124</v>
      </c>
      <c r="B306" s="6" t="s">
        <v>125</v>
      </c>
      <c r="C306" s="6" t="s">
        <v>49</v>
      </c>
      <c r="D306" s="6" t="s">
        <v>30</v>
      </c>
      <c r="E306" s="6" t="s">
        <v>452</v>
      </c>
      <c r="F306" s="7">
        <v>0.26896769132354809</v>
      </c>
      <c r="G306" s="7">
        <v>0.13076352317846041</v>
      </c>
      <c r="H306" s="7">
        <v>7.032033166957459E-2</v>
      </c>
      <c r="I306" s="7">
        <v>0.1237251060350097</v>
      </c>
      <c r="J306" s="7">
        <v>7.2096317535745025E-2</v>
      </c>
      <c r="K306" s="7">
        <v>1.5010327172643461E-2</v>
      </c>
      <c r="L306" s="7">
        <v>2.5552498361916458E-2</v>
      </c>
      <c r="M306" s="12">
        <f t="shared" si="8"/>
        <v>0.10230657717720287</v>
      </c>
      <c r="N306" s="7">
        <v>8.2006639390886978E-3</v>
      </c>
      <c r="O306" s="7">
        <v>0.1765870719362069</v>
      </c>
      <c r="P306" s="7">
        <v>6.4698916706037897E-3</v>
      </c>
      <c r="Q306" s="7"/>
      <c r="R306" s="13">
        <f t="shared" si="9"/>
        <v>0.99999999999999989</v>
      </c>
      <c r="S306" s="7">
        <v>1.8690069985054431E-2</v>
      </c>
      <c r="T306" s="7">
        <v>1.569163138053322E-3</v>
      </c>
      <c r="U306" s="7">
        <v>1.8849253556200679E-2</v>
      </c>
      <c r="V306" s="7">
        <v>3.9975692525888493E-2</v>
      </c>
      <c r="W306" s="7">
        <v>0</v>
      </c>
      <c r="X306" s="7">
        <v>2.3222397972005961E-2</v>
      </c>
      <c r="Y306" s="7"/>
      <c r="Z306" s="14" t="str">
        <f>IFERROR(IF(INDEX('All GHED Countries'!$D$5:$AB$199,MATCH($B306,'All GHED Countries'!$B$5:$B$199,0),MATCH($D306,'All GHED Countries'!$D$4:$AB$4,0))="","",INDEX('All GHED Countries'!$D$5:$AB$199,MATCH($B306,'All GHED Countries'!$B$5:$B$199,0),MATCH($D306,'All GHED Countries'!$D$4:$AB$4,0))),"")</f>
        <v/>
      </c>
    </row>
    <row r="307" spans="1:26" x14ac:dyDescent="0.2">
      <c r="A307" s="6" t="s">
        <v>126</v>
      </c>
      <c r="B307" s="6" t="s">
        <v>127</v>
      </c>
      <c r="C307" s="6"/>
      <c r="D307" s="6" t="s">
        <v>11</v>
      </c>
      <c r="E307" s="6" t="s">
        <v>452</v>
      </c>
      <c r="F307" s="7">
        <v>0.1113665927794739</v>
      </c>
      <c r="G307" s="7">
        <v>8.8618268760519869E-2</v>
      </c>
      <c r="H307" s="7">
        <v>9.6203691263710839E-2</v>
      </c>
      <c r="I307" s="7">
        <v>9.099444177157863E-2</v>
      </c>
      <c r="J307" s="7">
        <v>9.025982164877687E-2</v>
      </c>
      <c r="K307" s="7">
        <v>0</v>
      </c>
      <c r="L307" s="7">
        <v>7.9172007200163208E-2</v>
      </c>
      <c r="M307" s="12">
        <f t="shared" si="8"/>
        <v>0.1008849277688469</v>
      </c>
      <c r="N307" s="7">
        <v>2.661535273566561E-2</v>
      </c>
      <c r="O307" s="7">
        <v>0.22235113421207181</v>
      </c>
      <c r="P307" s="7">
        <v>9.3533761859192321E-2</v>
      </c>
      <c r="Q307" s="7"/>
      <c r="R307" s="13">
        <f t="shared" si="9"/>
        <v>1</v>
      </c>
      <c r="S307" s="7"/>
      <c r="T307" s="7">
        <v>5.5199239930155332E-2</v>
      </c>
      <c r="U307" s="7">
        <v>3.6967324985997689E-2</v>
      </c>
      <c r="V307" s="7"/>
      <c r="W307" s="7"/>
      <c r="X307" s="7"/>
      <c r="Y307" s="7">
        <v>8.7183628526938863E-3</v>
      </c>
      <c r="Z307" s="14">
        <f>IFERROR(IF(INDEX('All GHED Countries'!$D$5:$AB$199,MATCH($B307,'All GHED Countries'!$B$5:$B$199,0),MATCH($D307,'All GHED Countries'!$D$4:$AB$4,0))="","",INDEX('All GHED Countries'!$D$5:$AB$199,MATCH($B307,'All GHED Countries'!$B$5:$B$199,0),MATCH($D307,'All GHED Countries'!$D$4:$AB$4,0))),"")</f>
        <v>0.1894181824</v>
      </c>
    </row>
    <row r="308" spans="1:26" x14ac:dyDescent="0.2">
      <c r="A308" s="6" t="s">
        <v>126</v>
      </c>
      <c r="B308" s="6" t="s">
        <v>127</v>
      </c>
      <c r="C308" s="6"/>
      <c r="D308" s="6" t="s">
        <v>12</v>
      </c>
      <c r="E308" s="6" t="s">
        <v>452</v>
      </c>
      <c r="F308" s="7">
        <v>0.12155316587842881</v>
      </c>
      <c r="G308" s="7">
        <v>8.5410205668407763E-2</v>
      </c>
      <c r="H308" s="7">
        <v>9.3095236902554959E-2</v>
      </c>
      <c r="I308" s="7">
        <v>8.9760011329071479E-2</v>
      </c>
      <c r="J308" s="7">
        <v>0.1073595370460502</v>
      </c>
      <c r="K308" s="7">
        <v>0</v>
      </c>
      <c r="L308" s="7">
        <v>7.2481417303667459E-2</v>
      </c>
      <c r="M308" s="12">
        <f t="shared" si="8"/>
        <v>9.1183794553895484E-2</v>
      </c>
      <c r="N308" s="7">
        <v>2.1479137003105879E-2</v>
      </c>
      <c r="O308" s="7">
        <v>0.2183439572712047</v>
      </c>
      <c r="P308" s="7">
        <v>9.9333604736440012E-2</v>
      </c>
      <c r="Q308" s="7"/>
      <c r="R308" s="13">
        <f t="shared" si="9"/>
        <v>1.0000000676928267</v>
      </c>
      <c r="S308" s="7"/>
      <c r="T308" s="7">
        <v>5.0419377369502777E-2</v>
      </c>
      <c r="U308" s="7">
        <v>3.1601177692722492E-2</v>
      </c>
      <c r="V308" s="7"/>
      <c r="W308" s="7"/>
      <c r="X308" s="7"/>
      <c r="Y308" s="7">
        <v>9.1632394916702081E-3</v>
      </c>
      <c r="Z308" s="14">
        <f>IFERROR(IF(INDEX('All GHED Countries'!$D$5:$AB$199,MATCH($B308,'All GHED Countries'!$B$5:$B$199,0),MATCH($D308,'All GHED Countries'!$D$4:$AB$4,0))="","",INDEX('All GHED Countries'!$D$5:$AB$199,MATCH($B308,'All GHED Countries'!$B$5:$B$199,0),MATCH($D308,'All GHED Countries'!$D$4:$AB$4,0))),"")</f>
        <v>0.18427373890000001</v>
      </c>
    </row>
    <row r="309" spans="1:26" x14ac:dyDescent="0.2">
      <c r="A309" s="6" t="s">
        <v>126</v>
      </c>
      <c r="B309" s="6" t="s">
        <v>127</v>
      </c>
      <c r="C309" s="6"/>
      <c r="D309" s="6" t="s">
        <v>14</v>
      </c>
      <c r="E309" s="6" t="s">
        <v>452</v>
      </c>
      <c r="F309" s="7">
        <v>0.1401346509489873</v>
      </c>
      <c r="G309" s="7">
        <v>5.310865322055016E-2</v>
      </c>
      <c r="H309" s="7">
        <v>0.1101216882357207</v>
      </c>
      <c r="I309" s="7">
        <v>9.0777432054231499E-2</v>
      </c>
      <c r="J309" s="7">
        <v>0.1106179154050992</v>
      </c>
      <c r="K309" s="7">
        <v>1.021059021455065E-2</v>
      </c>
      <c r="L309" s="7">
        <v>1.5503733190960999E-2</v>
      </c>
      <c r="M309" s="12">
        <f t="shared" si="8"/>
        <v>0.13231669223833914</v>
      </c>
      <c r="N309" s="7">
        <v>2.4103916529337549E-2</v>
      </c>
      <c r="O309" s="7">
        <v>0.2350638001391033</v>
      </c>
      <c r="P309" s="7">
        <v>6.3597090515594437E-2</v>
      </c>
      <c r="Q309" s="7">
        <v>1.444383730752506E-2</v>
      </c>
      <c r="R309" s="13">
        <f t="shared" si="9"/>
        <v>1</v>
      </c>
      <c r="S309" s="7">
        <v>0</v>
      </c>
      <c r="T309" s="7">
        <v>0</v>
      </c>
      <c r="U309" s="7">
        <v>5.3461559659859943E-2</v>
      </c>
      <c r="V309" s="7">
        <v>7.331038399684392E-2</v>
      </c>
      <c r="W309" s="7">
        <v>0</v>
      </c>
      <c r="X309" s="7">
        <v>5.5447485816352794E-3</v>
      </c>
      <c r="Y309" s="7"/>
      <c r="Z309" s="14">
        <f>IFERROR(IF(INDEX('All GHED Countries'!$D$5:$AB$199,MATCH($B309,'All GHED Countries'!$B$5:$B$199,0),MATCH($D309,'All GHED Countries'!$D$4:$AB$4,0))="","",INDEX('All GHED Countries'!$D$5:$AB$199,MATCH($B309,'All GHED Countries'!$B$5:$B$199,0),MATCH($D309,'All GHED Countries'!$D$4:$AB$4,0))),"")</f>
        <v>0.1722389221</v>
      </c>
    </row>
    <row r="310" spans="1:26" x14ac:dyDescent="0.2">
      <c r="A310" s="6" t="s">
        <v>126</v>
      </c>
      <c r="B310" s="6" t="s">
        <v>127</v>
      </c>
      <c r="C310" s="6"/>
      <c r="D310" s="6" t="s">
        <v>15</v>
      </c>
      <c r="E310" s="6" t="s">
        <v>452</v>
      </c>
      <c r="F310" s="7">
        <v>0.130248587680661</v>
      </c>
      <c r="G310" s="7">
        <v>4.9371654144706477E-2</v>
      </c>
      <c r="H310" s="7">
        <v>0.1039156596902088</v>
      </c>
      <c r="I310" s="7">
        <v>9.2617364832910401E-2</v>
      </c>
      <c r="J310" s="7">
        <v>0.1299837097177059</v>
      </c>
      <c r="K310" s="7">
        <v>1.2155335175322021E-2</v>
      </c>
      <c r="L310" s="7">
        <v>1.5957322309328899E-2</v>
      </c>
      <c r="M310" s="12">
        <f t="shared" si="8"/>
        <v>0.13671729496015417</v>
      </c>
      <c r="N310" s="7">
        <v>2.3159663242535381E-2</v>
      </c>
      <c r="O310" s="7">
        <v>0.23322978169110209</v>
      </c>
      <c r="P310" s="7">
        <v>5.9827857967078513E-2</v>
      </c>
      <c r="Q310" s="7">
        <v>1.2815768588286289E-2</v>
      </c>
      <c r="R310" s="13">
        <f t="shared" si="9"/>
        <v>0.99999999999999989</v>
      </c>
      <c r="S310" s="7">
        <v>0</v>
      </c>
      <c r="T310" s="7">
        <v>0</v>
      </c>
      <c r="U310" s="7">
        <v>5.8675145692804749E-2</v>
      </c>
      <c r="V310" s="7">
        <v>7.3287124249809585E-2</v>
      </c>
      <c r="W310" s="7">
        <v>0</v>
      </c>
      <c r="X310" s="7">
        <v>4.755025017539825E-3</v>
      </c>
      <c r="Y310" s="7"/>
      <c r="Z310" s="14">
        <f>IFERROR(IF(INDEX('All GHED Countries'!$D$5:$AB$199,MATCH($B310,'All GHED Countries'!$B$5:$B$199,0),MATCH($D310,'All GHED Countries'!$D$4:$AB$4,0))="","",INDEX('All GHED Countries'!$D$5:$AB$199,MATCH($B310,'All GHED Countries'!$B$5:$B$199,0),MATCH($D310,'All GHED Countries'!$D$4:$AB$4,0))),"")</f>
        <v>0.1349217892</v>
      </c>
    </row>
    <row r="311" spans="1:26" x14ac:dyDescent="0.2">
      <c r="A311" s="6" t="s">
        <v>126</v>
      </c>
      <c r="B311" s="6" t="s">
        <v>127</v>
      </c>
      <c r="C311" s="6"/>
      <c r="D311" s="6" t="s">
        <v>16</v>
      </c>
      <c r="E311" s="6" t="s">
        <v>452</v>
      </c>
      <c r="F311" s="7">
        <v>0.1530797374643042</v>
      </c>
      <c r="G311" s="7">
        <v>3.5426801170570413E-2</v>
      </c>
      <c r="H311" s="7">
        <v>0.1072279657785003</v>
      </c>
      <c r="I311" s="7">
        <v>0.1008551178179843</v>
      </c>
      <c r="J311" s="7">
        <v>0.1200147142196786</v>
      </c>
      <c r="K311" s="7">
        <v>1.170225430433402E-2</v>
      </c>
      <c r="L311" s="7">
        <v>1.7323627180724561E-2</v>
      </c>
      <c r="M311" s="12">
        <f t="shared" si="8"/>
        <v>0.12094622754186651</v>
      </c>
      <c r="N311" s="7">
        <v>2.1943570093350531E-2</v>
      </c>
      <c r="O311" s="7">
        <v>0.2466318692021526</v>
      </c>
      <c r="P311" s="7">
        <v>6.3398086452861269E-2</v>
      </c>
      <c r="Q311" s="7"/>
      <c r="R311" s="13">
        <f t="shared" si="9"/>
        <v>0.99854997122632727</v>
      </c>
      <c r="S311" s="7">
        <v>0</v>
      </c>
      <c r="T311" s="7">
        <v>0</v>
      </c>
      <c r="U311" s="7">
        <v>4.7946371673140399E-2</v>
      </c>
      <c r="V311" s="7">
        <v>6.8847311127120336E-2</v>
      </c>
      <c r="W311" s="7">
        <v>0</v>
      </c>
      <c r="X311" s="7">
        <v>4.1525447416057857E-3</v>
      </c>
      <c r="Y311" s="7"/>
      <c r="Z311" s="14">
        <f>IFERROR(IF(INDEX('All GHED Countries'!$D$5:$AB$199,MATCH($B311,'All GHED Countries'!$B$5:$B$199,0),MATCH($D311,'All GHED Countries'!$D$4:$AB$4,0))="","",INDEX('All GHED Countries'!$D$5:$AB$199,MATCH($B311,'All GHED Countries'!$B$5:$B$199,0),MATCH($D311,'All GHED Countries'!$D$4:$AB$4,0))),"")</f>
        <v>0.145885601</v>
      </c>
    </row>
    <row r="312" spans="1:26" x14ac:dyDescent="0.2">
      <c r="A312" s="6" t="s">
        <v>126</v>
      </c>
      <c r="B312" s="6" t="s">
        <v>127</v>
      </c>
      <c r="C312" s="6"/>
      <c r="D312" s="6" t="s">
        <v>17</v>
      </c>
      <c r="E312" s="6" t="s">
        <v>452</v>
      </c>
      <c r="F312" s="7">
        <v>0.115149585751881</v>
      </c>
      <c r="G312" s="7">
        <v>3.228232607980018E-2</v>
      </c>
      <c r="H312" s="7">
        <v>9.0513499650754684E-2</v>
      </c>
      <c r="I312" s="7">
        <v>9.1882352507726278E-2</v>
      </c>
      <c r="J312" s="7">
        <v>0.158344770014409</v>
      </c>
      <c r="K312" s="7">
        <v>2.1202673584524389E-2</v>
      </c>
      <c r="L312" s="7">
        <v>2.3600631436613551E-2</v>
      </c>
      <c r="M312" s="12">
        <f t="shared" si="8"/>
        <v>0.12555710301566195</v>
      </c>
      <c r="N312" s="7">
        <v>1.553329622218682E-2</v>
      </c>
      <c r="O312" s="7">
        <v>0.2312163417998743</v>
      </c>
      <c r="P312" s="7">
        <v>7.9208696085160929E-2</v>
      </c>
      <c r="Q312" s="7">
        <v>1.550872385140693E-2</v>
      </c>
      <c r="R312" s="13">
        <f t="shared" si="9"/>
        <v>0.99999999999999978</v>
      </c>
      <c r="S312" s="7">
        <v>0</v>
      </c>
      <c r="T312" s="7">
        <v>0</v>
      </c>
      <c r="U312" s="7">
        <v>5.886527061009348E-2</v>
      </c>
      <c r="V312" s="7">
        <v>6.3017413545413015E-2</v>
      </c>
      <c r="W312" s="7">
        <v>0</v>
      </c>
      <c r="X312" s="7">
        <v>3.674418860155463E-3</v>
      </c>
      <c r="Y312" s="7"/>
      <c r="Z312" s="14">
        <f>IFERROR(IF(INDEX('All GHED Countries'!$D$5:$AB$199,MATCH($B312,'All GHED Countries'!$B$5:$B$199,0),MATCH($D312,'All GHED Countries'!$D$4:$AB$4,0))="","",INDEX('All GHED Countries'!$D$5:$AB$199,MATCH($B312,'All GHED Countries'!$B$5:$B$199,0),MATCH($D312,'All GHED Countries'!$D$4:$AB$4,0))),"")</f>
        <v>0.13310722350000001</v>
      </c>
    </row>
    <row r="313" spans="1:26" x14ac:dyDescent="0.2">
      <c r="A313" s="6" t="s">
        <v>126</v>
      </c>
      <c r="B313" s="6" t="s">
        <v>127</v>
      </c>
      <c r="C313" s="6"/>
      <c r="D313" s="6" t="s">
        <v>18</v>
      </c>
      <c r="E313" s="6" t="s">
        <v>452</v>
      </c>
      <c r="F313" s="7">
        <v>0.110256064948237</v>
      </c>
      <c r="G313" s="7">
        <v>4.5967326134062861E-2</v>
      </c>
      <c r="H313" s="7">
        <v>8.8279293726633665E-2</v>
      </c>
      <c r="I313" s="7">
        <v>9.3243322907955561E-2</v>
      </c>
      <c r="J313" s="7">
        <v>0.1473870472350868</v>
      </c>
      <c r="K313" s="7">
        <v>1.3857996465879339E-2</v>
      </c>
      <c r="L313" s="7">
        <v>2.712905345581609E-2</v>
      </c>
      <c r="M313" s="12">
        <f t="shared" si="8"/>
        <v>0.13522786286427149</v>
      </c>
      <c r="N313" s="7">
        <v>1.6566910178605249E-2</v>
      </c>
      <c r="O313" s="7">
        <v>0.2354735585810043</v>
      </c>
      <c r="P313" s="7">
        <v>7.3506148546686495E-2</v>
      </c>
      <c r="Q313" s="7">
        <v>1.310541495576118E-2</v>
      </c>
      <c r="R313" s="13">
        <f t="shared" si="9"/>
        <v>1</v>
      </c>
      <c r="S313" s="7">
        <v>0</v>
      </c>
      <c r="T313" s="7">
        <v>0</v>
      </c>
      <c r="U313" s="7">
        <v>6.3090137236871485E-2</v>
      </c>
      <c r="V313" s="7">
        <v>6.8784253426214997E-2</v>
      </c>
      <c r="W313" s="7">
        <v>0</v>
      </c>
      <c r="X313" s="7">
        <v>3.353472201185021E-3</v>
      </c>
      <c r="Y313" s="7"/>
      <c r="Z313" s="14">
        <f>IFERROR(IF(INDEX('All GHED Countries'!$D$5:$AB$199,MATCH($B313,'All GHED Countries'!$B$5:$B$199,0),MATCH($D313,'All GHED Countries'!$D$4:$AB$4,0))="","",INDEX('All GHED Countries'!$D$5:$AB$199,MATCH($B313,'All GHED Countries'!$B$5:$B$199,0),MATCH($D313,'All GHED Countries'!$D$4:$AB$4,0))),"")</f>
        <v>0.13719823840000001</v>
      </c>
    </row>
    <row r="314" spans="1:26" x14ac:dyDescent="0.2">
      <c r="A314" s="6" t="s">
        <v>126</v>
      </c>
      <c r="B314" s="6" t="s">
        <v>127</v>
      </c>
      <c r="C314" s="6"/>
      <c r="D314" s="6" t="s">
        <v>19</v>
      </c>
      <c r="E314" s="6" t="s">
        <v>452</v>
      </c>
      <c r="F314" s="7">
        <v>0.11952314362064489</v>
      </c>
      <c r="G314" s="7">
        <v>3.8268093951053149E-2</v>
      </c>
      <c r="H314" s="7">
        <v>8.0681496920757212E-2</v>
      </c>
      <c r="I314" s="7">
        <v>9.4186992323656543E-2</v>
      </c>
      <c r="J314" s="7">
        <v>0.14575211903902369</v>
      </c>
      <c r="K314" s="7">
        <v>1.364906235447085E-2</v>
      </c>
      <c r="L314" s="7">
        <v>4.3687919100863962E-2</v>
      </c>
      <c r="M314" s="12">
        <f t="shared" si="8"/>
        <v>0.14991928309122993</v>
      </c>
      <c r="N314" s="7">
        <v>1.6773454475590449E-2</v>
      </c>
      <c r="O314" s="7">
        <v>0.23299952607720281</v>
      </c>
      <c r="P314" s="7">
        <v>5.8947428078932627E-2</v>
      </c>
      <c r="Q314" s="7">
        <v>5.6114809665739071E-3</v>
      </c>
      <c r="R314" s="13">
        <f t="shared" si="9"/>
        <v>1</v>
      </c>
      <c r="S314" s="7">
        <v>0</v>
      </c>
      <c r="T314" s="7">
        <v>0</v>
      </c>
      <c r="U314" s="7">
        <v>7.5829003840539103E-2</v>
      </c>
      <c r="V314" s="7">
        <v>6.9971403479922256E-2</v>
      </c>
      <c r="W314" s="7">
        <v>0</v>
      </c>
      <c r="X314" s="7">
        <v>4.1188757707685923E-3</v>
      </c>
      <c r="Y314" s="7"/>
      <c r="Z314" s="14">
        <f>IFERROR(IF(INDEX('All GHED Countries'!$D$5:$AB$199,MATCH($B314,'All GHED Countries'!$B$5:$B$199,0),MATCH($D314,'All GHED Countries'!$D$4:$AB$4,0))="","",INDEX('All GHED Countries'!$D$5:$AB$199,MATCH($B314,'All GHED Countries'!$B$5:$B$199,0),MATCH($D314,'All GHED Countries'!$D$4:$AB$4,0))),"")</f>
        <v>0.1358865547</v>
      </c>
    </row>
    <row r="315" spans="1:26" x14ac:dyDescent="0.2">
      <c r="A315" s="6" t="s">
        <v>126</v>
      </c>
      <c r="B315" s="6" t="s">
        <v>127</v>
      </c>
      <c r="C315" s="6"/>
      <c r="D315" s="6" t="s">
        <v>20</v>
      </c>
      <c r="E315" s="6" t="s">
        <v>452</v>
      </c>
      <c r="F315" s="7">
        <v>0.16821241777261031</v>
      </c>
      <c r="G315" s="7">
        <v>3.5068956219453613E-2</v>
      </c>
      <c r="H315" s="7">
        <v>9.7550707741431153E-2</v>
      </c>
      <c r="I315" s="7">
        <v>9.7769583513525368E-2</v>
      </c>
      <c r="J315" s="7">
        <v>0.14121065551313439</v>
      </c>
      <c r="K315" s="7">
        <v>1.005019320973652E-2</v>
      </c>
      <c r="L315" s="7">
        <v>4.1825679051918453E-2</v>
      </c>
      <c r="M315" s="12">
        <f t="shared" si="8"/>
        <v>0.11064220177715578</v>
      </c>
      <c r="N315" s="7">
        <v>1.6027223808784689E-2</v>
      </c>
      <c r="O315" s="7">
        <v>0.2179016110944991</v>
      </c>
      <c r="P315" s="7">
        <v>5.9125249625342657E-2</v>
      </c>
      <c r="Q315" s="7"/>
      <c r="R315" s="13">
        <f t="shared" si="9"/>
        <v>0.99538447932759211</v>
      </c>
      <c r="S315" s="7">
        <v>0</v>
      </c>
      <c r="T315" s="7">
        <v>0</v>
      </c>
      <c r="U315" s="7">
        <v>4.5781744831898917E-2</v>
      </c>
      <c r="V315" s="7">
        <v>6.2709271292946733E-2</v>
      </c>
      <c r="W315" s="7">
        <v>0</v>
      </c>
      <c r="X315" s="7">
        <v>2.1511856523101199E-3</v>
      </c>
      <c r="Y315" s="7"/>
      <c r="Z315" s="14">
        <f>IFERROR(IF(INDEX('All GHED Countries'!$D$5:$AB$199,MATCH($B315,'All GHED Countries'!$B$5:$B$199,0),MATCH($D315,'All GHED Countries'!$D$4:$AB$4,0))="","",INDEX('All GHED Countries'!$D$5:$AB$199,MATCH($B315,'All GHED Countries'!$B$5:$B$199,0),MATCH($D315,'All GHED Countries'!$D$4:$AB$4,0))),"")</f>
        <v>0.1196669388</v>
      </c>
    </row>
    <row r="316" spans="1:26" x14ac:dyDescent="0.2">
      <c r="A316" s="6" t="s">
        <v>126</v>
      </c>
      <c r="B316" s="6" t="s">
        <v>127</v>
      </c>
      <c r="C316" s="6"/>
      <c r="D316" s="6" t="s">
        <v>21</v>
      </c>
      <c r="E316" s="6" t="s">
        <v>452</v>
      </c>
      <c r="F316" s="7">
        <v>0.15175693904216611</v>
      </c>
      <c r="G316" s="7">
        <v>4.068516189609632E-2</v>
      </c>
      <c r="H316" s="7">
        <v>0.1045554405042184</v>
      </c>
      <c r="I316" s="7">
        <v>9.4353083163194906E-2</v>
      </c>
      <c r="J316" s="7">
        <v>0.14192813103788049</v>
      </c>
      <c r="K316" s="7">
        <v>8.438891830963283E-3</v>
      </c>
      <c r="L316" s="7">
        <v>4.6089863253425671E-2</v>
      </c>
      <c r="M316" s="12">
        <f t="shared" si="8"/>
        <v>8.3767124777307175E-2</v>
      </c>
      <c r="N316" s="7">
        <v>2.0026411678558811E-2</v>
      </c>
      <c r="O316" s="7">
        <v>0.2322823801690147</v>
      </c>
      <c r="P316" s="7">
        <v>6.8227524225009134E-2</v>
      </c>
      <c r="Q316" s="7">
        <v>7.8890484221649619E-3</v>
      </c>
      <c r="R316" s="13">
        <f t="shared" si="9"/>
        <v>0.99999999999999989</v>
      </c>
      <c r="S316" s="7">
        <v>0</v>
      </c>
      <c r="T316" s="7">
        <v>0</v>
      </c>
      <c r="U316" s="7">
        <v>1.9601170861621151E-2</v>
      </c>
      <c r="V316" s="7">
        <v>6.2575916604126827E-2</v>
      </c>
      <c r="W316" s="7">
        <v>0</v>
      </c>
      <c r="X316" s="7">
        <v>1.5900373115591911E-3</v>
      </c>
      <c r="Y316" s="7"/>
      <c r="Z316" s="14">
        <f>IFERROR(IF(INDEX('All GHED Countries'!$D$5:$AB$199,MATCH($B316,'All GHED Countries'!$B$5:$B$199,0),MATCH($D316,'All GHED Countries'!$D$4:$AB$4,0))="","",INDEX('All GHED Countries'!$D$5:$AB$199,MATCH($B316,'All GHED Countries'!$B$5:$B$199,0),MATCH($D316,'All GHED Countries'!$D$4:$AB$4,0))),"")</f>
        <v>0.1235063553</v>
      </c>
    </row>
    <row r="317" spans="1:26" x14ac:dyDescent="0.2">
      <c r="A317" s="6" t="s">
        <v>126</v>
      </c>
      <c r="B317" s="6" t="s">
        <v>127</v>
      </c>
      <c r="C317" s="6"/>
      <c r="D317" s="6" t="s">
        <v>22</v>
      </c>
      <c r="E317" s="6" t="s">
        <v>453</v>
      </c>
      <c r="F317" s="7">
        <v>6.0567781589746093E-2</v>
      </c>
      <c r="G317" s="7">
        <v>6.9234182036173611E-2</v>
      </c>
      <c r="H317" s="7">
        <v>9.6854478298820559E-2</v>
      </c>
      <c r="I317" s="7">
        <v>9.9487231548319122E-2</v>
      </c>
      <c r="J317" s="7">
        <v>0.1090175091744785</v>
      </c>
      <c r="K317" s="7">
        <v>7.2974972620330003E-3</v>
      </c>
      <c r="L317" s="7">
        <v>6.1237615698983942E-2</v>
      </c>
      <c r="M317" s="12">
        <f t="shared" si="8"/>
        <v>0.11737196289665182</v>
      </c>
      <c r="N317" s="7">
        <v>1.266098908636234E-2</v>
      </c>
      <c r="O317" s="7">
        <v>0.25209375364433129</v>
      </c>
      <c r="P317" s="7">
        <v>0.1141769987640998</v>
      </c>
      <c r="Q317" s="7"/>
      <c r="R317" s="13">
        <f t="shared" si="9"/>
        <v>1</v>
      </c>
      <c r="S317" s="7">
        <v>2.4220044841940031E-2</v>
      </c>
      <c r="T317" s="7">
        <v>7.9051669107732772E-2</v>
      </c>
      <c r="U317" s="7">
        <v>7.4051204882175058E-3</v>
      </c>
      <c r="V317" s="7">
        <v>0</v>
      </c>
      <c r="W317" s="7">
        <v>0</v>
      </c>
      <c r="X317" s="7">
        <v>6.6951284587615104E-3</v>
      </c>
      <c r="Y317" s="7"/>
      <c r="Z317" s="14">
        <f>IFERROR(IF(INDEX('All GHED Countries'!$D$5:$AB$199,MATCH($B317,'All GHED Countries'!$B$5:$B$199,0),MATCH($D317,'All GHED Countries'!$D$4:$AB$4,0))="","",INDEX('All GHED Countries'!$D$5:$AB$199,MATCH($B317,'All GHED Countries'!$B$5:$B$199,0),MATCH($D317,'All GHED Countries'!$D$4:$AB$4,0))),"")</f>
        <v>0.13802706719999999</v>
      </c>
    </row>
    <row r="318" spans="1:26" x14ac:dyDescent="0.2">
      <c r="A318" s="6" t="s">
        <v>126</v>
      </c>
      <c r="B318" s="6" t="s">
        <v>127</v>
      </c>
      <c r="C318" s="6"/>
      <c r="D318" s="6" t="s">
        <v>23</v>
      </c>
      <c r="E318" s="6" t="s">
        <v>453</v>
      </c>
      <c r="F318" s="7">
        <v>0.104762926947638</v>
      </c>
      <c r="G318" s="7">
        <v>7.6677666880052994E-2</v>
      </c>
      <c r="H318" s="7">
        <v>8.3565703826289681E-2</v>
      </c>
      <c r="I318" s="7">
        <v>9.8904348202358119E-2</v>
      </c>
      <c r="J318" s="7">
        <v>0.10208039644322189</v>
      </c>
      <c r="K318" s="7">
        <v>6.4496687562688414E-3</v>
      </c>
      <c r="L318" s="7">
        <v>4.9674327787127277E-2</v>
      </c>
      <c r="M318" s="12">
        <f t="shared" si="8"/>
        <v>0.10187393916665641</v>
      </c>
      <c r="N318" s="7">
        <v>1.220501886326603E-2</v>
      </c>
      <c r="O318" s="7">
        <v>0.2481828577957631</v>
      </c>
      <c r="P318" s="7">
        <v>0.1156231453313576</v>
      </c>
      <c r="Q318" s="7"/>
      <c r="R318" s="13">
        <f t="shared" si="9"/>
        <v>1</v>
      </c>
      <c r="S318" s="7">
        <v>1.892760717006324E-2</v>
      </c>
      <c r="T318" s="7">
        <v>6.6688528512527642E-2</v>
      </c>
      <c r="U318" s="7">
        <v>6.4086601191428181E-3</v>
      </c>
      <c r="V318" s="7">
        <v>0</v>
      </c>
      <c r="W318" s="7">
        <v>0</v>
      </c>
      <c r="X318" s="7">
        <v>9.849143364922713E-3</v>
      </c>
      <c r="Y318" s="7"/>
      <c r="Z318" s="14">
        <f>IFERROR(IF(INDEX('All GHED Countries'!$D$5:$AB$199,MATCH($B318,'All GHED Countries'!$B$5:$B$199,0),MATCH($D318,'All GHED Countries'!$D$4:$AB$4,0))="","",INDEX('All GHED Countries'!$D$5:$AB$199,MATCH($B318,'All GHED Countries'!$B$5:$B$199,0),MATCH($D318,'All GHED Countries'!$D$4:$AB$4,0))),"")</f>
        <v>0.1402117729</v>
      </c>
    </row>
    <row r="319" spans="1:26" x14ac:dyDescent="0.2">
      <c r="A319" s="6" t="s">
        <v>126</v>
      </c>
      <c r="B319" s="6" t="s">
        <v>127</v>
      </c>
      <c r="C319" s="6"/>
      <c r="D319" s="6" t="s">
        <v>24</v>
      </c>
      <c r="E319" s="6" t="s">
        <v>453</v>
      </c>
      <c r="F319" s="7">
        <v>0.1181689575344104</v>
      </c>
      <c r="G319" s="7">
        <v>8.7784014663482512E-2</v>
      </c>
      <c r="H319" s="7">
        <v>8.6994337667658003E-2</v>
      </c>
      <c r="I319" s="7">
        <v>9.695350748404645E-2</v>
      </c>
      <c r="J319" s="7">
        <v>8.0543961455454088E-2</v>
      </c>
      <c r="K319" s="7">
        <v>5.3130228968959704E-3</v>
      </c>
      <c r="L319" s="7">
        <v>4.307432549431052E-2</v>
      </c>
      <c r="M319" s="12">
        <f t="shared" si="8"/>
        <v>0.10125082696920479</v>
      </c>
      <c r="N319" s="7">
        <v>1.0214194915439449E-2</v>
      </c>
      <c r="O319" s="7">
        <v>0.2513814645898525</v>
      </c>
      <c r="P319" s="7">
        <v>0.1183213863292454</v>
      </c>
      <c r="Q319" s="7"/>
      <c r="R319" s="13">
        <f t="shared" si="9"/>
        <v>1</v>
      </c>
      <c r="S319" s="7">
        <v>1.9201631164754231E-2</v>
      </c>
      <c r="T319" s="7">
        <v>7.1827672581567109E-2</v>
      </c>
      <c r="U319" s="7">
        <v>4.2621436094271662E-3</v>
      </c>
      <c r="V319" s="7">
        <v>0</v>
      </c>
      <c r="W319" s="7">
        <v>0</v>
      </c>
      <c r="X319" s="7">
        <v>5.9593796134562779E-3</v>
      </c>
      <c r="Y319" s="7"/>
      <c r="Z319" s="14">
        <f>IFERROR(IF(INDEX('All GHED Countries'!$D$5:$AB$199,MATCH($B319,'All GHED Countries'!$B$5:$B$199,0),MATCH($D319,'All GHED Countries'!$D$4:$AB$4,0))="","",INDEX('All GHED Countries'!$D$5:$AB$199,MATCH($B319,'All GHED Countries'!$B$5:$B$199,0),MATCH($D319,'All GHED Countries'!$D$4:$AB$4,0))),"")</f>
        <v>0.14208248139999999</v>
      </c>
    </row>
    <row r="320" spans="1:26" x14ac:dyDescent="0.2">
      <c r="A320" s="6" t="s">
        <v>126</v>
      </c>
      <c r="B320" s="6" t="s">
        <v>127</v>
      </c>
      <c r="C320" s="6"/>
      <c r="D320" s="6" t="s">
        <v>25</v>
      </c>
      <c r="E320" s="6" t="s">
        <v>453</v>
      </c>
      <c r="F320" s="7">
        <v>9.1828596821136699E-2</v>
      </c>
      <c r="G320" s="7">
        <v>0.10117655021821211</v>
      </c>
      <c r="H320" s="7">
        <v>8.6066502455805799E-2</v>
      </c>
      <c r="I320" s="7">
        <v>0.10302465811475341</v>
      </c>
      <c r="J320" s="7">
        <v>8.2642500007357123E-2</v>
      </c>
      <c r="K320" s="7">
        <v>5.9857507349760312E-3</v>
      </c>
      <c r="L320" s="7">
        <v>4.2332853649277392E-2</v>
      </c>
      <c r="M320" s="12">
        <f t="shared" si="8"/>
        <v>0.10145023498633048</v>
      </c>
      <c r="N320" s="7">
        <v>9.1846253902950811E-3</v>
      </c>
      <c r="O320" s="7">
        <v>0.24823944180078689</v>
      </c>
      <c r="P320" s="7">
        <v>0.12806828582106899</v>
      </c>
      <c r="Q320" s="7"/>
      <c r="R320" s="13">
        <f t="shared" si="9"/>
        <v>0.99999999999999989</v>
      </c>
      <c r="S320" s="7">
        <v>1.472159196249636E-2</v>
      </c>
      <c r="T320" s="7">
        <v>7.7745602650916554E-2</v>
      </c>
      <c r="U320" s="7">
        <v>3.5623162559923721E-3</v>
      </c>
      <c r="V320" s="7">
        <v>0</v>
      </c>
      <c r="W320" s="7">
        <v>0</v>
      </c>
      <c r="X320" s="7">
        <v>5.4207241169251961E-3</v>
      </c>
      <c r="Y320" s="7"/>
      <c r="Z320" s="14">
        <f>IFERROR(IF(INDEX('All GHED Countries'!$D$5:$AB$199,MATCH($B320,'All GHED Countries'!$B$5:$B$199,0),MATCH($D320,'All GHED Countries'!$D$4:$AB$4,0))="","",INDEX('All GHED Countries'!$D$5:$AB$199,MATCH($B320,'All GHED Countries'!$B$5:$B$199,0),MATCH($D320,'All GHED Countries'!$D$4:$AB$4,0))),"")</f>
        <v>0.14082218169999999</v>
      </c>
    </row>
    <row r="321" spans="1:26" x14ac:dyDescent="0.2">
      <c r="A321" s="6" t="s">
        <v>126</v>
      </c>
      <c r="B321" s="6" t="s">
        <v>127</v>
      </c>
      <c r="C321" s="6"/>
      <c r="D321" s="6" t="s">
        <v>26</v>
      </c>
      <c r="E321" s="6" t="s">
        <v>453</v>
      </c>
      <c r="F321" s="7">
        <v>0.12612826982232159</v>
      </c>
      <c r="G321" s="7">
        <v>9.6650351342225688E-2</v>
      </c>
      <c r="H321" s="7">
        <v>7.981171353445228E-2</v>
      </c>
      <c r="I321" s="7">
        <v>9.0034668956661151E-2</v>
      </c>
      <c r="J321" s="7">
        <v>7.3455516591382206E-2</v>
      </c>
      <c r="K321" s="7">
        <v>5.5316128243235686E-3</v>
      </c>
      <c r="L321" s="7">
        <v>3.602593790960016E-2</v>
      </c>
      <c r="M321" s="12">
        <f t="shared" si="8"/>
        <v>0.11298371037596144</v>
      </c>
      <c r="N321" s="7">
        <v>9.6193061423075592E-3</v>
      </c>
      <c r="O321" s="7">
        <v>0.24474674912064739</v>
      </c>
      <c r="P321" s="7">
        <v>0.12501216338011689</v>
      </c>
      <c r="Q321" s="7"/>
      <c r="R321" s="13">
        <f t="shared" si="9"/>
        <v>0.99999999999999989</v>
      </c>
      <c r="S321" s="7">
        <v>2.291554227406023E-2</v>
      </c>
      <c r="T321" s="7">
        <v>8.1961507886921775E-2</v>
      </c>
      <c r="U321" s="7">
        <v>3.1348287422666159E-3</v>
      </c>
      <c r="V321" s="7">
        <v>0</v>
      </c>
      <c r="W321" s="7">
        <v>0</v>
      </c>
      <c r="X321" s="7">
        <v>4.9718314727128189E-3</v>
      </c>
      <c r="Y321" s="7"/>
      <c r="Z321" s="14">
        <f>IFERROR(IF(INDEX('All GHED Countries'!$D$5:$AB$199,MATCH($B321,'All GHED Countries'!$B$5:$B$199,0),MATCH($D321,'All GHED Countries'!$D$4:$AB$4,0))="","",INDEX('All GHED Countries'!$D$5:$AB$199,MATCH($B321,'All GHED Countries'!$B$5:$B$199,0),MATCH($D321,'All GHED Countries'!$D$4:$AB$4,0))),"")</f>
        <v>0.1570535183</v>
      </c>
    </row>
    <row r="322" spans="1:26" x14ac:dyDescent="0.2">
      <c r="A322" s="6" t="s">
        <v>126</v>
      </c>
      <c r="B322" s="6" t="s">
        <v>127</v>
      </c>
      <c r="C322" s="6"/>
      <c r="D322" s="6" t="s">
        <v>27</v>
      </c>
      <c r="E322" s="6" t="s">
        <v>453</v>
      </c>
      <c r="F322" s="7">
        <v>9.9568796980769106E-2</v>
      </c>
      <c r="G322" s="7">
        <v>0.10854612022273399</v>
      </c>
      <c r="H322" s="7">
        <v>7.9057317927925322E-2</v>
      </c>
      <c r="I322" s="7">
        <v>9.0567730741787505E-2</v>
      </c>
      <c r="J322" s="7">
        <v>7.6744640224287591E-2</v>
      </c>
      <c r="K322" s="7">
        <v>5.19093281020054E-3</v>
      </c>
      <c r="L322" s="7">
        <v>2.9989189388005721E-2</v>
      </c>
      <c r="M322" s="12">
        <f t="shared" si="8"/>
        <v>0.12306201217919677</v>
      </c>
      <c r="N322" s="7">
        <v>9.8964379877521831E-3</v>
      </c>
      <c r="O322" s="7">
        <v>0.2450000061759241</v>
      </c>
      <c r="P322" s="7">
        <v>0.1323768153614171</v>
      </c>
      <c r="Q322" s="7"/>
      <c r="R322" s="13">
        <f t="shared" si="9"/>
        <v>1</v>
      </c>
      <c r="S322" s="7">
        <v>3.0992708429546219E-2</v>
      </c>
      <c r="T322" s="7">
        <v>8.1787076371065442E-2</v>
      </c>
      <c r="U322" s="7">
        <v>3.599191310776754E-3</v>
      </c>
      <c r="V322" s="7">
        <v>0</v>
      </c>
      <c r="W322" s="7">
        <v>0</v>
      </c>
      <c r="X322" s="7">
        <v>6.6830360678083534E-3</v>
      </c>
      <c r="Y322" s="7"/>
      <c r="Z322" s="14">
        <f>IFERROR(IF(INDEX('All GHED Countries'!$D$5:$AB$199,MATCH($B322,'All GHED Countries'!$B$5:$B$199,0),MATCH($D322,'All GHED Countries'!$D$4:$AB$4,0))="","",INDEX('All GHED Countries'!$D$5:$AB$199,MATCH($B322,'All GHED Countries'!$B$5:$B$199,0),MATCH($D322,'All GHED Countries'!$D$4:$AB$4,0))),"")</f>
        <v>0.1660372353</v>
      </c>
    </row>
    <row r="323" spans="1:26" x14ac:dyDescent="0.2">
      <c r="A323" s="6" t="s">
        <v>126</v>
      </c>
      <c r="B323" s="6" t="s">
        <v>127</v>
      </c>
      <c r="C323" s="6"/>
      <c r="D323" s="6" t="s">
        <v>28</v>
      </c>
      <c r="E323" s="6" t="s">
        <v>453</v>
      </c>
      <c r="F323" s="7">
        <v>0.1081357745936833</v>
      </c>
      <c r="G323" s="7">
        <v>0.12064218446298861</v>
      </c>
      <c r="H323" s="7">
        <v>7.5933665913005918E-2</v>
      </c>
      <c r="I323" s="7">
        <v>9.1174825411024882E-2</v>
      </c>
      <c r="J323" s="7">
        <v>8.1268058943162233E-2</v>
      </c>
      <c r="K323" s="7">
        <v>5.2091382986236556E-3</v>
      </c>
      <c r="L323" s="7">
        <v>2.7752942910454249E-2</v>
      </c>
      <c r="M323" s="12">
        <f t="shared" si="8"/>
        <v>0.11614606416112851</v>
      </c>
      <c r="N323" s="7">
        <v>1.0450645797531039E-2</v>
      </c>
      <c r="O323" s="7">
        <v>0.23952120707178751</v>
      </c>
      <c r="P323" s="7">
        <v>0.1237654924366101</v>
      </c>
      <c r="Q323" s="7"/>
      <c r="R323" s="13">
        <f t="shared" si="9"/>
        <v>1</v>
      </c>
      <c r="S323" s="7">
        <v>2.725883282549086E-2</v>
      </c>
      <c r="T323" s="7">
        <v>8.0635260268840922E-2</v>
      </c>
      <c r="U323" s="7">
        <v>2.9594149081533538E-3</v>
      </c>
      <c r="V323" s="7">
        <v>0</v>
      </c>
      <c r="W323" s="7">
        <v>0</v>
      </c>
      <c r="X323" s="7">
        <v>5.2925561586433696E-3</v>
      </c>
      <c r="Y323" s="7"/>
      <c r="Z323" s="14">
        <f>IFERROR(IF(INDEX('All GHED Countries'!$D$5:$AB$199,MATCH($B323,'All GHED Countries'!$B$5:$B$199,0),MATCH($D323,'All GHED Countries'!$D$4:$AB$4,0))="","",INDEX('All GHED Countries'!$D$5:$AB$199,MATCH($B323,'All GHED Countries'!$B$5:$B$199,0),MATCH($D323,'All GHED Countries'!$D$4:$AB$4,0))),"")</f>
        <v>0.15882202149999999</v>
      </c>
    </row>
    <row r="324" spans="1:26" x14ac:dyDescent="0.2">
      <c r="A324" s="6" t="s">
        <v>126</v>
      </c>
      <c r="B324" s="6" t="s">
        <v>127</v>
      </c>
      <c r="C324" s="6"/>
      <c r="D324" s="6" t="s">
        <v>29</v>
      </c>
      <c r="E324" s="6" t="s">
        <v>452</v>
      </c>
      <c r="F324" s="7">
        <v>0.1059932368791181</v>
      </c>
      <c r="G324" s="7">
        <v>0.13793877266980509</v>
      </c>
      <c r="H324" s="7">
        <v>7.2876775617425255E-2</v>
      </c>
      <c r="I324" s="7">
        <v>8.8245565414964242E-2</v>
      </c>
      <c r="J324" s="7">
        <v>6.6517800691996476E-2</v>
      </c>
      <c r="K324" s="7">
        <v>4.9919407238063511E-3</v>
      </c>
      <c r="L324" s="7">
        <v>3.2632143417594912E-2</v>
      </c>
      <c r="M324" s="12">
        <f t="shared" si="8"/>
        <v>0.11682285477945595</v>
      </c>
      <c r="N324" s="7">
        <v>1.098515948800145E-2</v>
      </c>
      <c r="O324" s="7">
        <v>0.24365596341459769</v>
      </c>
      <c r="P324" s="7">
        <v>0.11933978690323439</v>
      </c>
      <c r="Q324" s="7"/>
      <c r="R324" s="13">
        <f t="shared" si="9"/>
        <v>1</v>
      </c>
      <c r="S324" s="7">
        <v>3.0261417131565039E-2</v>
      </c>
      <c r="T324" s="7">
        <v>7.8509345289227692E-2</v>
      </c>
      <c r="U324" s="7">
        <v>2.8296494685074859E-3</v>
      </c>
      <c r="V324" s="7">
        <v>0</v>
      </c>
      <c r="W324" s="7">
        <v>0</v>
      </c>
      <c r="X324" s="7">
        <v>5.2224428901557407E-3</v>
      </c>
      <c r="Y324" s="7"/>
      <c r="Z324" s="14">
        <f>IFERROR(IF(INDEX('All GHED Countries'!$D$5:$AB$199,MATCH($B324,'All GHED Countries'!$B$5:$B$199,0),MATCH($D324,'All GHED Countries'!$D$4:$AB$4,0))="","",INDEX('All GHED Countries'!$D$5:$AB$199,MATCH($B324,'All GHED Countries'!$B$5:$B$199,0),MATCH($D324,'All GHED Countries'!$D$4:$AB$4,0))),"")</f>
        <v>0.14992521289999999</v>
      </c>
    </row>
    <row r="325" spans="1:26" x14ac:dyDescent="0.2">
      <c r="A325" s="6" t="s">
        <v>126</v>
      </c>
      <c r="B325" s="6" t="s">
        <v>127</v>
      </c>
      <c r="C325" s="6"/>
      <c r="D325" s="6" t="s">
        <v>30</v>
      </c>
      <c r="E325" s="6" t="s">
        <v>452</v>
      </c>
      <c r="F325" s="7">
        <v>0.101356694397795</v>
      </c>
      <c r="G325" s="7">
        <v>0.12989559882664431</v>
      </c>
      <c r="H325" s="7">
        <v>6.6255819297852792E-2</v>
      </c>
      <c r="I325" s="7">
        <v>8.3917822423595634E-2</v>
      </c>
      <c r="J325" s="7">
        <v>0.1009510962967093</v>
      </c>
      <c r="K325" s="7">
        <v>5.4028214270562466E-3</v>
      </c>
      <c r="L325" s="7">
        <v>3.8683288982185558E-2</v>
      </c>
      <c r="M325" s="12">
        <f t="shared" ref="M325:M388" si="10">SUM(S325:Y325)</f>
        <v>0.10988459312851682</v>
      </c>
      <c r="N325" s="7">
        <v>1.11051375698498E-2</v>
      </c>
      <c r="O325" s="7">
        <v>0.23474076630435589</v>
      </c>
      <c r="P325" s="7">
        <v>0.11780636134543571</v>
      </c>
      <c r="Q325" s="7"/>
      <c r="R325" s="13">
        <f t="shared" ref="R325:R388" si="11">SUM(F325:Q325)</f>
        <v>0.99999999999999711</v>
      </c>
      <c r="S325" s="7">
        <v>2.804285981633349E-2</v>
      </c>
      <c r="T325" s="7">
        <v>7.5144808748746128E-2</v>
      </c>
      <c r="U325" s="7">
        <v>2.480701182386994E-3</v>
      </c>
      <c r="V325" s="7">
        <v>0</v>
      </c>
      <c r="W325" s="7">
        <v>0</v>
      </c>
      <c r="X325" s="7">
        <v>4.2162233810502112E-3</v>
      </c>
      <c r="Y325" s="7"/>
      <c r="Z325" s="14" t="str">
        <f>IFERROR(IF(INDEX('All GHED Countries'!$D$5:$AB$199,MATCH($B325,'All GHED Countries'!$B$5:$B$199,0),MATCH($D325,'All GHED Countries'!$D$4:$AB$4,0))="","",INDEX('All GHED Countries'!$D$5:$AB$199,MATCH($B325,'All GHED Countries'!$B$5:$B$199,0),MATCH($D325,'All GHED Countries'!$D$4:$AB$4,0))),"")</f>
        <v/>
      </c>
    </row>
    <row r="326" spans="1:26" x14ac:dyDescent="0.2">
      <c r="A326" s="6" t="s">
        <v>128</v>
      </c>
      <c r="B326" s="6" t="s">
        <v>129</v>
      </c>
      <c r="C326" s="6"/>
      <c r="D326" s="6" t="s">
        <v>11</v>
      </c>
      <c r="E326" s="6" t="s">
        <v>452</v>
      </c>
      <c r="F326" s="7">
        <v>0.13884987300282159</v>
      </c>
      <c r="G326" s="7">
        <v>7.0037113587853334E-2</v>
      </c>
      <c r="H326" s="7">
        <v>0.1238197146928133</v>
      </c>
      <c r="I326" s="7">
        <v>9.3074570715745958E-2</v>
      </c>
      <c r="J326" s="7">
        <v>0.2513699363042976</v>
      </c>
      <c r="K326" s="7">
        <v>0</v>
      </c>
      <c r="L326" s="7">
        <v>2.855211952940646E-2</v>
      </c>
      <c r="M326" s="12">
        <f t="shared" si="10"/>
        <v>5.2739591018399097E-2</v>
      </c>
      <c r="N326" s="7">
        <v>0</v>
      </c>
      <c r="O326" s="7">
        <v>0.193966085276775</v>
      </c>
      <c r="P326" s="7">
        <v>4.7590995871887733E-2</v>
      </c>
      <c r="Q326" s="7"/>
      <c r="R326" s="13">
        <f t="shared" si="11"/>
        <v>1</v>
      </c>
      <c r="S326" s="7"/>
      <c r="T326" s="7"/>
      <c r="U326" s="7"/>
      <c r="V326" s="7"/>
      <c r="W326" s="7"/>
      <c r="X326" s="7"/>
      <c r="Y326" s="7">
        <v>5.2739591018399097E-2</v>
      </c>
      <c r="Z326" s="14">
        <f>IFERROR(IF(INDEX('All GHED Countries'!$D$5:$AB$199,MATCH($B326,'All GHED Countries'!$B$5:$B$199,0),MATCH($D326,'All GHED Countries'!$D$4:$AB$4,0))="","",INDEX('All GHED Countries'!$D$5:$AB$199,MATCH($B326,'All GHED Countries'!$B$5:$B$199,0),MATCH($D326,'All GHED Countries'!$D$4:$AB$4,0))),"")</f>
        <v>6.2514729500000005E-2</v>
      </c>
    </row>
    <row r="327" spans="1:26" x14ac:dyDescent="0.2">
      <c r="A327" s="6" t="s">
        <v>128</v>
      </c>
      <c r="B327" s="6" t="s">
        <v>129</v>
      </c>
      <c r="C327" s="6"/>
      <c r="D327" s="6" t="s">
        <v>12</v>
      </c>
      <c r="E327" s="6" t="s">
        <v>452</v>
      </c>
      <c r="F327" s="7">
        <v>0.1406793491541232</v>
      </c>
      <c r="G327" s="7">
        <v>6.4909716030769019E-2</v>
      </c>
      <c r="H327" s="7">
        <v>0.1192251107674128</v>
      </c>
      <c r="I327" s="7">
        <v>9.6421814356778809E-2</v>
      </c>
      <c r="J327" s="7">
        <v>0.23271970761612501</v>
      </c>
      <c r="K327" s="7">
        <v>0</v>
      </c>
      <c r="L327" s="7">
        <v>3.529072553489334E-2</v>
      </c>
      <c r="M327" s="12">
        <f t="shared" si="10"/>
        <v>6.112392195113335E-2</v>
      </c>
      <c r="N327" s="7">
        <v>0</v>
      </c>
      <c r="O327" s="7">
        <v>0.20382791209272319</v>
      </c>
      <c r="P327" s="7">
        <v>4.5801742496041277E-2</v>
      </c>
      <c r="Q327" s="7"/>
      <c r="R327" s="13">
        <f t="shared" si="11"/>
        <v>1</v>
      </c>
      <c r="S327" s="7"/>
      <c r="T327" s="7"/>
      <c r="U327" s="7"/>
      <c r="V327" s="7"/>
      <c r="W327" s="7"/>
      <c r="X327" s="7"/>
      <c r="Y327" s="7">
        <v>6.112392195113335E-2</v>
      </c>
      <c r="Z327" s="14">
        <f>IFERROR(IF(INDEX('All GHED Countries'!$D$5:$AB$199,MATCH($B327,'All GHED Countries'!$B$5:$B$199,0),MATCH($D327,'All GHED Countries'!$D$4:$AB$4,0))="","",INDEX('All GHED Countries'!$D$5:$AB$199,MATCH($B327,'All GHED Countries'!$B$5:$B$199,0),MATCH($D327,'All GHED Countries'!$D$4:$AB$4,0))),"")</f>
        <v>7.5840301500000012E-2</v>
      </c>
    </row>
    <row r="328" spans="1:26" x14ac:dyDescent="0.2">
      <c r="A328" s="6" t="s">
        <v>128</v>
      </c>
      <c r="B328" s="6" t="s">
        <v>129</v>
      </c>
      <c r="C328" s="6"/>
      <c r="D328" s="6" t="s">
        <v>13</v>
      </c>
      <c r="E328" s="6" t="s">
        <v>452</v>
      </c>
      <c r="F328" s="7">
        <v>0.17998207631715479</v>
      </c>
      <c r="G328" s="7">
        <v>5.2862000505979563E-2</v>
      </c>
      <c r="H328" s="7">
        <v>9.3971553657417509E-2</v>
      </c>
      <c r="I328" s="7">
        <v>8.9836242715823869E-2</v>
      </c>
      <c r="J328" s="7">
        <v>0.2278743283978886</v>
      </c>
      <c r="K328" s="7">
        <v>0</v>
      </c>
      <c r="L328" s="7">
        <v>6.081016761645034E-2</v>
      </c>
      <c r="M328" s="12">
        <f t="shared" si="10"/>
        <v>6.6773865726745318E-2</v>
      </c>
      <c r="N328" s="7">
        <v>0</v>
      </c>
      <c r="O328" s="7">
        <v>0.18342359494191951</v>
      </c>
      <c r="P328" s="7">
        <v>4.4466170120620381E-2</v>
      </c>
      <c r="Q328" s="7"/>
      <c r="R328" s="13">
        <f t="shared" si="11"/>
        <v>0.99999999999999989</v>
      </c>
      <c r="S328" s="7"/>
      <c r="T328" s="7"/>
      <c r="U328" s="7"/>
      <c r="V328" s="7"/>
      <c r="W328" s="7"/>
      <c r="X328" s="7"/>
      <c r="Y328" s="7">
        <v>6.6773865726745318E-2</v>
      </c>
      <c r="Z328" s="14">
        <f>IFERROR(IF(INDEX('All GHED Countries'!$D$5:$AB$199,MATCH($B328,'All GHED Countries'!$B$5:$B$199,0),MATCH($D328,'All GHED Countries'!$D$4:$AB$4,0))="","",INDEX('All GHED Countries'!$D$5:$AB$199,MATCH($B328,'All GHED Countries'!$B$5:$B$199,0),MATCH($D328,'All GHED Countries'!$D$4:$AB$4,0))),"")</f>
        <v>5.1758842499999999E-2</v>
      </c>
    </row>
    <row r="329" spans="1:26" x14ac:dyDescent="0.2">
      <c r="A329" s="6" t="s">
        <v>128</v>
      </c>
      <c r="B329" s="6" t="s">
        <v>129</v>
      </c>
      <c r="C329" s="6"/>
      <c r="D329" s="6" t="s">
        <v>14</v>
      </c>
      <c r="E329" s="6" t="s">
        <v>452</v>
      </c>
      <c r="F329" s="7">
        <v>9.8845457552178551E-2</v>
      </c>
      <c r="G329" s="7">
        <v>4.622884281743752E-2</v>
      </c>
      <c r="H329" s="7">
        <v>8.0968109735930507E-2</v>
      </c>
      <c r="I329" s="7">
        <v>9.967738379143673E-2</v>
      </c>
      <c r="J329" s="7">
        <v>0.27997980747471579</v>
      </c>
      <c r="K329" s="7">
        <v>0</v>
      </c>
      <c r="L329" s="7">
        <v>7.1146012846623835E-2</v>
      </c>
      <c r="M329" s="12">
        <f t="shared" si="10"/>
        <v>7.4449782698255196E-2</v>
      </c>
      <c r="N329" s="7">
        <v>0</v>
      </c>
      <c r="O329" s="7">
        <v>0.1952096425110682</v>
      </c>
      <c r="P329" s="7">
        <v>5.3494960572353652E-2</v>
      </c>
      <c r="Q329" s="7"/>
      <c r="R329" s="13">
        <f t="shared" si="11"/>
        <v>1</v>
      </c>
      <c r="S329" s="7"/>
      <c r="T329" s="7"/>
      <c r="U329" s="7"/>
      <c r="V329" s="7"/>
      <c r="W329" s="7"/>
      <c r="X329" s="7"/>
      <c r="Y329" s="7">
        <v>7.4449782698255196E-2</v>
      </c>
      <c r="Z329" s="14">
        <f>IFERROR(IF(INDEX('All GHED Countries'!$D$5:$AB$199,MATCH($B329,'All GHED Countries'!$B$5:$B$199,0),MATCH($D329,'All GHED Countries'!$D$4:$AB$4,0))="","",INDEX('All GHED Countries'!$D$5:$AB$199,MATCH($B329,'All GHED Countries'!$B$5:$B$199,0),MATCH($D329,'All GHED Countries'!$D$4:$AB$4,0))),"")</f>
        <v>5.3112759599999997E-2</v>
      </c>
    </row>
    <row r="330" spans="1:26" x14ac:dyDescent="0.2">
      <c r="A330" s="6" t="s">
        <v>128</v>
      </c>
      <c r="B330" s="6" t="s">
        <v>129</v>
      </c>
      <c r="C330" s="6"/>
      <c r="D330" s="6" t="s">
        <v>15</v>
      </c>
      <c r="E330" s="6" t="s">
        <v>452</v>
      </c>
      <c r="F330" s="7">
        <v>0.1440021271556354</v>
      </c>
      <c r="G330" s="7">
        <v>4.083157363949419E-2</v>
      </c>
      <c r="H330" s="7">
        <v>7.2412423830752914E-2</v>
      </c>
      <c r="I330" s="7">
        <v>7.974580289860006E-2</v>
      </c>
      <c r="J330" s="7">
        <v>0.22451006067501139</v>
      </c>
      <c r="K330" s="7">
        <v>0</v>
      </c>
      <c r="L330" s="7">
        <v>9.7976848654979631E-2</v>
      </c>
      <c r="M330" s="12">
        <f t="shared" si="10"/>
        <v>6.6932294058235392E-2</v>
      </c>
      <c r="N330" s="7">
        <v>0</v>
      </c>
      <c r="O330" s="7">
        <v>0.17682582110561021</v>
      </c>
      <c r="P330" s="7">
        <v>9.6763047981680839E-2</v>
      </c>
      <c r="Q330" s="7"/>
      <c r="R330" s="13">
        <f t="shared" si="11"/>
        <v>1</v>
      </c>
      <c r="S330" s="7"/>
      <c r="T330" s="7"/>
      <c r="U330" s="7"/>
      <c r="V330" s="7"/>
      <c r="W330" s="7"/>
      <c r="X330" s="7"/>
      <c r="Y330" s="7">
        <v>6.6932294058235392E-2</v>
      </c>
      <c r="Z330" s="14">
        <f>IFERROR(IF(INDEX('All GHED Countries'!$D$5:$AB$199,MATCH($B330,'All GHED Countries'!$B$5:$B$199,0),MATCH($D330,'All GHED Countries'!$D$4:$AB$4,0))="","",INDEX('All GHED Countries'!$D$5:$AB$199,MATCH($B330,'All GHED Countries'!$B$5:$B$199,0),MATCH($D330,'All GHED Countries'!$D$4:$AB$4,0))),"")</f>
        <v>4.6907815899999997E-2</v>
      </c>
    </row>
    <row r="331" spans="1:26" x14ac:dyDescent="0.2">
      <c r="A331" s="6" t="s">
        <v>128</v>
      </c>
      <c r="B331" s="6" t="s">
        <v>129</v>
      </c>
      <c r="C331" s="6"/>
      <c r="D331" s="6" t="s">
        <v>18</v>
      </c>
      <c r="E331" s="6" t="s">
        <v>452</v>
      </c>
      <c r="F331" s="7">
        <v>0.1219195913379947</v>
      </c>
      <c r="G331" s="7">
        <v>5.1458919964700291E-2</v>
      </c>
      <c r="H331" s="7">
        <v>7.6904147715701573E-2</v>
      </c>
      <c r="I331" s="7">
        <v>0.1332754056072229</v>
      </c>
      <c r="J331" s="7">
        <v>0.2328966125857036</v>
      </c>
      <c r="K331" s="7">
        <v>3.112823297807345E-3</v>
      </c>
      <c r="L331" s="7">
        <v>3.4005498608376893E-2</v>
      </c>
      <c r="M331" s="12">
        <f t="shared" si="10"/>
        <v>7.7626434050641513E-2</v>
      </c>
      <c r="N331" s="7">
        <v>7.0124227818885339E-3</v>
      </c>
      <c r="O331" s="7">
        <v>0.2106211390944267</v>
      </c>
      <c r="P331" s="7">
        <v>3.5916434729482041E-2</v>
      </c>
      <c r="Q331" s="7">
        <v>1.525057022605395E-2</v>
      </c>
      <c r="R331" s="13">
        <f t="shared" si="11"/>
        <v>1</v>
      </c>
      <c r="S331" s="7"/>
      <c r="T331" s="7">
        <v>7.8249949086959467E-3</v>
      </c>
      <c r="U331" s="7">
        <v>2.2466906523657591E-2</v>
      </c>
      <c r="V331" s="7">
        <v>3.9688751612246283E-2</v>
      </c>
      <c r="W331" s="7"/>
      <c r="X331" s="7"/>
      <c r="Y331" s="7">
        <v>7.6457810060416879E-3</v>
      </c>
      <c r="Z331" s="14">
        <f>IFERROR(IF(INDEX('All GHED Countries'!$D$5:$AB$199,MATCH($B331,'All GHED Countries'!$B$5:$B$199,0),MATCH($D331,'All GHED Countries'!$D$4:$AB$4,0))="","",INDEX('All GHED Countries'!$D$5:$AB$199,MATCH($B331,'All GHED Countries'!$B$5:$B$199,0),MATCH($D331,'All GHED Countries'!$D$4:$AB$4,0))),"")</f>
        <v>4.6918611500000013E-2</v>
      </c>
    </row>
    <row r="332" spans="1:26" x14ac:dyDescent="0.2">
      <c r="A332" s="6" t="s">
        <v>128</v>
      </c>
      <c r="B332" s="6" t="s">
        <v>129</v>
      </c>
      <c r="C332" s="6"/>
      <c r="D332" s="6" t="s">
        <v>19</v>
      </c>
      <c r="E332" s="6" t="s">
        <v>452</v>
      </c>
      <c r="F332" s="7">
        <v>0.14393539938601899</v>
      </c>
      <c r="G332" s="7">
        <v>4.5540343060224503E-2</v>
      </c>
      <c r="H332" s="7">
        <v>6.9285617196772287E-2</v>
      </c>
      <c r="I332" s="7">
        <v>0.12519273433718561</v>
      </c>
      <c r="J332" s="7">
        <v>0.23954532916940169</v>
      </c>
      <c r="K332" s="7">
        <v>2.05890504512031E-3</v>
      </c>
      <c r="L332" s="7">
        <v>3.1135480277683852E-2</v>
      </c>
      <c r="M332" s="12">
        <f t="shared" si="10"/>
        <v>7.2509653956066539E-2</v>
      </c>
      <c r="N332" s="7">
        <v>7.9961609611521097E-3</v>
      </c>
      <c r="O332" s="7">
        <v>0.20696921143887709</v>
      </c>
      <c r="P332" s="7">
        <v>3.908667342974028E-2</v>
      </c>
      <c r="Q332" s="7">
        <v>1.6744491741756771E-2</v>
      </c>
      <c r="R332" s="13">
        <f t="shared" si="11"/>
        <v>1.0000000000000002</v>
      </c>
      <c r="S332" s="7"/>
      <c r="T332" s="7">
        <v>8.4939927993157357E-3</v>
      </c>
      <c r="U332" s="7">
        <v>2.172024081846452E-2</v>
      </c>
      <c r="V332" s="7">
        <v>3.3253180965263002E-2</v>
      </c>
      <c r="W332" s="7"/>
      <c r="X332" s="7"/>
      <c r="Y332" s="7">
        <v>9.0422393730232812E-3</v>
      </c>
      <c r="Z332" s="14">
        <f>IFERROR(IF(INDEX('All GHED Countries'!$D$5:$AB$199,MATCH($B332,'All GHED Countries'!$B$5:$B$199,0),MATCH($D332,'All GHED Countries'!$D$4:$AB$4,0))="","",INDEX('All GHED Countries'!$D$5:$AB$199,MATCH($B332,'All GHED Countries'!$B$5:$B$199,0),MATCH($D332,'All GHED Countries'!$D$4:$AB$4,0))),"")</f>
        <v>4.8838276899999998E-2</v>
      </c>
    </row>
    <row r="333" spans="1:26" x14ac:dyDescent="0.2">
      <c r="A333" s="6" t="s">
        <v>128</v>
      </c>
      <c r="B333" s="6" t="s">
        <v>129</v>
      </c>
      <c r="C333" s="6"/>
      <c r="D333" s="6" t="s">
        <v>20</v>
      </c>
      <c r="E333" s="6" t="s">
        <v>452</v>
      </c>
      <c r="F333" s="7">
        <v>0.1258203381433507</v>
      </c>
      <c r="G333" s="7">
        <v>3.3085742642249179E-2</v>
      </c>
      <c r="H333" s="7">
        <v>8.5317626790879939E-2</v>
      </c>
      <c r="I333" s="7">
        <v>0.1235942600043094</v>
      </c>
      <c r="J333" s="7">
        <v>0.2586863401776433</v>
      </c>
      <c r="K333" s="7">
        <v>5.5028174022613337E-3</v>
      </c>
      <c r="L333" s="7">
        <v>3.600355895236395E-2</v>
      </c>
      <c r="M333" s="12">
        <f t="shared" si="10"/>
        <v>7.2885161247531527E-2</v>
      </c>
      <c r="N333" s="7">
        <v>1.0752882574715541E-2</v>
      </c>
      <c r="O333" s="7">
        <v>0.21390159471592629</v>
      </c>
      <c r="P333" s="7">
        <v>3.4449677348768762E-2</v>
      </c>
      <c r="Q333" s="7"/>
      <c r="R333" s="13">
        <f t="shared" si="11"/>
        <v>0.99999999999999989</v>
      </c>
      <c r="S333" s="7"/>
      <c r="T333" s="7">
        <v>5.5970762480898432E-3</v>
      </c>
      <c r="U333" s="7">
        <v>2.471569180780361E-2</v>
      </c>
      <c r="V333" s="7">
        <v>3.3398254897857423E-2</v>
      </c>
      <c r="W333" s="7"/>
      <c r="X333" s="7"/>
      <c r="Y333" s="7">
        <v>9.1741382937806561E-3</v>
      </c>
      <c r="Z333" s="14">
        <f>IFERROR(IF(INDEX('All GHED Countries'!$D$5:$AB$199,MATCH($B333,'All GHED Countries'!$B$5:$B$199,0),MATCH($D333,'All GHED Countries'!$D$4:$AB$4,0))="","",INDEX('All GHED Countries'!$D$5:$AB$199,MATCH($B333,'All GHED Countries'!$B$5:$B$199,0),MATCH($D333,'All GHED Countries'!$D$4:$AB$4,0))),"")</f>
        <v>5.2682366399999993E-2</v>
      </c>
    </row>
    <row r="334" spans="1:26" x14ac:dyDescent="0.2">
      <c r="A334" s="6" t="s">
        <v>128</v>
      </c>
      <c r="B334" s="6" t="s">
        <v>129</v>
      </c>
      <c r="C334" s="6"/>
      <c r="D334" s="6" t="s">
        <v>21</v>
      </c>
      <c r="E334" s="6" t="s">
        <v>452</v>
      </c>
      <c r="F334" s="7">
        <v>0.198201777036461</v>
      </c>
      <c r="G334" s="7">
        <v>2.1093244818271361E-2</v>
      </c>
      <c r="H334" s="7">
        <v>7.5498870340992605E-2</v>
      </c>
      <c r="I334" s="7">
        <v>7.7350821265331118E-2</v>
      </c>
      <c r="J334" s="7">
        <v>0.281458038033507</v>
      </c>
      <c r="K334" s="7">
        <v>1.7174907178344509E-2</v>
      </c>
      <c r="L334" s="7">
        <v>3.8562550146266618E-2</v>
      </c>
      <c r="M334" s="12">
        <f t="shared" si="10"/>
        <v>6.7102251809805474E-2</v>
      </c>
      <c r="N334" s="7">
        <v>7.6302067238140101E-3</v>
      </c>
      <c r="O334" s="7">
        <v>0.1818057453813148</v>
      </c>
      <c r="P334" s="7">
        <v>3.412158726589145E-2</v>
      </c>
      <c r="Q334" s="7"/>
      <c r="R334" s="13">
        <f t="shared" si="11"/>
        <v>0.99999999999999978</v>
      </c>
      <c r="S334" s="7"/>
      <c r="T334" s="7">
        <v>4.1958420241869606E-3</v>
      </c>
      <c r="U334" s="7">
        <v>2.8253757516431489E-2</v>
      </c>
      <c r="V334" s="7">
        <v>3.4652652269187033E-2</v>
      </c>
      <c r="W334" s="7"/>
      <c r="X334" s="7"/>
      <c r="Y334" s="7"/>
      <c r="Z334" s="14">
        <f>IFERROR(IF(INDEX('All GHED Countries'!$D$5:$AB$199,MATCH($B334,'All GHED Countries'!$B$5:$B$199,0),MATCH($D334,'All GHED Countries'!$D$4:$AB$4,0))="","",INDEX('All GHED Countries'!$D$5:$AB$199,MATCH($B334,'All GHED Countries'!$B$5:$B$199,0),MATCH($D334,'All GHED Countries'!$D$4:$AB$4,0))),"")</f>
        <v>5.1459526999999998E-2</v>
      </c>
    </row>
    <row r="335" spans="1:26" x14ac:dyDescent="0.2">
      <c r="A335" s="6" t="s">
        <v>128</v>
      </c>
      <c r="B335" s="6" t="s">
        <v>129</v>
      </c>
      <c r="C335" s="6"/>
      <c r="D335" s="6" t="s">
        <v>22</v>
      </c>
      <c r="E335" s="6" t="s">
        <v>452</v>
      </c>
      <c r="F335" s="7">
        <v>4.3948103593894207E-2</v>
      </c>
      <c r="G335" s="7">
        <v>0.10047571987216</v>
      </c>
      <c r="H335" s="7">
        <v>5.8400205474354969E-2</v>
      </c>
      <c r="I335" s="7">
        <v>5.7893196719438857E-2</v>
      </c>
      <c r="J335" s="7">
        <v>0.2916770454369802</v>
      </c>
      <c r="K335" s="7">
        <v>1.9539266842466509E-2</v>
      </c>
      <c r="L335" s="7">
        <v>3.794979611175725E-2</v>
      </c>
      <c r="M335" s="12">
        <f t="shared" si="10"/>
        <v>5.658593092936097E-2</v>
      </c>
      <c r="N335" s="7">
        <v>6.6034627991778706E-3</v>
      </c>
      <c r="O335" s="7">
        <v>0.1508937379684023</v>
      </c>
      <c r="P335" s="7">
        <v>3.2192814186424258E-2</v>
      </c>
      <c r="Q335" s="7">
        <v>0.1438407200655826</v>
      </c>
      <c r="R335" s="13">
        <f t="shared" si="11"/>
        <v>1.0000000000000002</v>
      </c>
      <c r="S335" s="7"/>
      <c r="T335" s="7">
        <v>7.1674577986359858E-3</v>
      </c>
      <c r="U335" s="7">
        <v>2.0330137271619399E-2</v>
      </c>
      <c r="V335" s="7">
        <v>2.9088335859105589E-2</v>
      </c>
      <c r="W335" s="7"/>
      <c r="X335" s="7"/>
      <c r="Y335" s="7"/>
      <c r="Z335" s="14">
        <f>IFERROR(IF(INDEX('All GHED Countries'!$D$5:$AB$199,MATCH($B335,'All GHED Countries'!$B$5:$B$199,0),MATCH($D335,'All GHED Countries'!$D$4:$AB$4,0))="","",INDEX('All GHED Countries'!$D$5:$AB$199,MATCH($B335,'All GHED Countries'!$B$5:$B$199,0),MATCH($D335,'All GHED Countries'!$D$4:$AB$4,0))),"")</f>
        <v>5.3145594599999998E-2</v>
      </c>
    </row>
    <row r="336" spans="1:26" x14ac:dyDescent="0.2">
      <c r="A336" s="6" t="s">
        <v>128</v>
      </c>
      <c r="B336" s="6" t="s">
        <v>129</v>
      </c>
      <c r="C336" s="6"/>
      <c r="D336" s="6" t="s">
        <v>23</v>
      </c>
      <c r="E336" s="6" t="s">
        <v>452</v>
      </c>
      <c r="F336" s="7">
        <v>0.17245432690029139</v>
      </c>
      <c r="G336" s="7">
        <v>1.3780849106906939E-2</v>
      </c>
      <c r="H336" s="7">
        <v>5.9276197570152282E-2</v>
      </c>
      <c r="I336" s="7">
        <v>7.8353291079279699E-2</v>
      </c>
      <c r="J336" s="7">
        <v>0.34207128672187598</v>
      </c>
      <c r="K336" s="7">
        <v>7.9636829166633508E-3</v>
      </c>
      <c r="L336" s="7">
        <v>5.2807363584915432E-2</v>
      </c>
      <c r="M336" s="12">
        <f t="shared" si="10"/>
        <v>6.23587865770363E-2</v>
      </c>
      <c r="N336" s="7">
        <v>8.9179500400912368E-3</v>
      </c>
      <c r="O336" s="7">
        <v>0.14929249137343231</v>
      </c>
      <c r="P336" s="7">
        <v>5.2723774129355111E-2</v>
      </c>
      <c r="Q336" s="7"/>
      <c r="R336" s="13">
        <f t="shared" si="11"/>
        <v>1.0000000000000002</v>
      </c>
      <c r="S336" s="7">
        <v>1.0337320992730549E-3</v>
      </c>
      <c r="T336" s="7">
        <v>4.9046466623788778E-3</v>
      </c>
      <c r="U336" s="7">
        <v>2.1589864034252271E-2</v>
      </c>
      <c r="V336" s="7">
        <v>2.7511242078631901E-2</v>
      </c>
      <c r="W336" s="7">
        <v>6.6318884166423264E-3</v>
      </c>
      <c r="X336" s="7">
        <v>6.8741328585786299E-4</v>
      </c>
      <c r="Y336" s="7"/>
      <c r="Z336" s="14">
        <f>IFERROR(IF(INDEX('All GHED Countries'!$D$5:$AB$199,MATCH($B336,'All GHED Countries'!$B$5:$B$199,0),MATCH($D336,'All GHED Countries'!$D$4:$AB$4,0))="","",INDEX('All GHED Countries'!$D$5:$AB$199,MATCH($B336,'All GHED Countries'!$B$5:$B$199,0),MATCH($D336,'All GHED Countries'!$D$4:$AB$4,0))),"")</f>
        <v>4.5078778299999997E-2</v>
      </c>
    </row>
    <row r="337" spans="1:26" x14ac:dyDescent="0.2">
      <c r="A337" s="6" t="s">
        <v>128</v>
      </c>
      <c r="B337" s="6" t="s">
        <v>129</v>
      </c>
      <c r="C337" s="6"/>
      <c r="D337" s="6" t="s">
        <v>24</v>
      </c>
      <c r="E337" s="6" t="s">
        <v>452</v>
      </c>
      <c r="F337" s="7">
        <v>0.33576131503597012</v>
      </c>
      <c r="G337" s="7">
        <v>1.6790762975926649E-2</v>
      </c>
      <c r="H337" s="7">
        <v>4.9612487258857717E-2</v>
      </c>
      <c r="I337" s="7">
        <v>5.5724890405976897E-2</v>
      </c>
      <c r="J337" s="7">
        <v>0.35123261500178132</v>
      </c>
      <c r="K337" s="7">
        <v>1.034610514946357E-2</v>
      </c>
      <c r="L337" s="7">
        <v>5.0555440876394381E-2</v>
      </c>
      <c r="M337" s="12">
        <f t="shared" si="10"/>
        <v>3.7122586921232742E-2</v>
      </c>
      <c r="N337" s="7">
        <v>5.4412405674850806E-3</v>
      </c>
      <c r="O337" s="7">
        <v>4.6524919666251753E-2</v>
      </c>
      <c r="P337" s="7">
        <v>4.0887636140659732E-2</v>
      </c>
      <c r="Q337" s="7"/>
      <c r="R337" s="13">
        <f t="shared" si="11"/>
        <v>0.99999999999999989</v>
      </c>
      <c r="S337" s="7">
        <v>4.8590960596847697E-4</v>
      </c>
      <c r="T337" s="7">
        <v>3.0276533724334308E-3</v>
      </c>
      <c r="U337" s="7">
        <v>1.679564343792957E-2</v>
      </c>
      <c r="V337" s="7">
        <v>1.2245869216009529E-2</v>
      </c>
      <c r="W337" s="7">
        <v>3.5457274329000052E-3</v>
      </c>
      <c r="X337" s="7">
        <v>1.021783855991727E-3</v>
      </c>
      <c r="Y337" s="7"/>
      <c r="Z337" s="14">
        <f>IFERROR(IF(INDEX('All GHED Countries'!$D$5:$AB$199,MATCH($B337,'All GHED Countries'!$B$5:$B$199,0),MATCH($D337,'All GHED Countries'!$D$4:$AB$4,0))="","",INDEX('All GHED Countries'!$D$5:$AB$199,MATCH($B337,'All GHED Countries'!$B$5:$B$199,0),MATCH($D337,'All GHED Countries'!$D$4:$AB$4,0))),"")</f>
        <v>3.8115978199999997E-2</v>
      </c>
    </row>
    <row r="338" spans="1:26" x14ac:dyDescent="0.2">
      <c r="A338" s="6" t="s">
        <v>128</v>
      </c>
      <c r="B338" s="6" t="s">
        <v>129</v>
      </c>
      <c r="C338" s="6"/>
      <c r="D338" s="6" t="s">
        <v>25</v>
      </c>
      <c r="E338" s="6" t="s">
        <v>452</v>
      </c>
      <c r="F338" s="7">
        <v>0.41886061760560411</v>
      </c>
      <c r="G338" s="7">
        <v>2.1623204117901671E-2</v>
      </c>
      <c r="H338" s="7">
        <v>5.2208448977911222E-2</v>
      </c>
      <c r="I338" s="7">
        <v>5.0089681661300837E-2</v>
      </c>
      <c r="J338" s="7">
        <v>0.28296456272551002</v>
      </c>
      <c r="K338" s="7">
        <v>1.103039365216065E-2</v>
      </c>
      <c r="L338" s="7">
        <v>3.7360936508354627E-2</v>
      </c>
      <c r="M338" s="12">
        <f t="shared" si="10"/>
        <v>3.7578275044294104E-2</v>
      </c>
      <c r="N338" s="7">
        <v>6.307176714055767E-3</v>
      </c>
      <c r="O338" s="7">
        <v>3.7806428000722578E-2</v>
      </c>
      <c r="P338" s="7">
        <v>4.4170274992184469E-2</v>
      </c>
      <c r="Q338" s="7"/>
      <c r="R338" s="13">
        <f t="shared" si="11"/>
        <v>1</v>
      </c>
      <c r="S338" s="7">
        <v>3.69143353896372E-4</v>
      </c>
      <c r="T338" s="7">
        <v>3.228063805310535E-3</v>
      </c>
      <c r="U338" s="7">
        <v>2.056961442107565E-2</v>
      </c>
      <c r="V338" s="7">
        <v>9.33313611977977E-3</v>
      </c>
      <c r="W338" s="7">
        <v>4.0783173442317782E-3</v>
      </c>
      <c r="X338" s="7">
        <v>0</v>
      </c>
      <c r="Y338" s="7"/>
      <c r="Z338" s="14">
        <f>IFERROR(IF(INDEX('All GHED Countries'!$D$5:$AB$199,MATCH($B338,'All GHED Countries'!$B$5:$B$199,0),MATCH($D338,'All GHED Countries'!$D$4:$AB$4,0))="","",INDEX('All GHED Countries'!$D$5:$AB$199,MATCH($B338,'All GHED Countries'!$B$5:$B$199,0),MATCH($D338,'All GHED Countries'!$D$4:$AB$4,0))),"")</f>
        <v>4.0338621099999999E-2</v>
      </c>
    </row>
    <row r="339" spans="1:26" x14ac:dyDescent="0.2">
      <c r="A339" s="6" t="s">
        <v>128</v>
      </c>
      <c r="B339" s="6" t="s">
        <v>129</v>
      </c>
      <c r="C339" s="6"/>
      <c r="D339" s="6" t="s">
        <v>26</v>
      </c>
      <c r="E339" s="6" t="s">
        <v>453</v>
      </c>
      <c r="F339" s="7">
        <v>0.17973358465258019</v>
      </c>
      <c r="G339" s="7">
        <v>2.4378580759586061E-2</v>
      </c>
      <c r="H339" s="7">
        <v>4.6278375284895437E-2</v>
      </c>
      <c r="I339" s="7">
        <v>5.2986663551014682E-2</v>
      </c>
      <c r="J339" s="7">
        <v>0.31524236610658563</v>
      </c>
      <c r="K339" s="7">
        <v>1.3864231226451749E-2</v>
      </c>
      <c r="L339" s="7">
        <v>0.1042343762329974</v>
      </c>
      <c r="M339" s="12">
        <f t="shared" si="10"/>
        <v>6.5584559806685178E-2</v>
      </c>
      <c r="N339" s="7">
        <v>1.345361124090981E-2</v>
      </c>
      <c r="O339" s="7">
        <v>0.11462371526780581</v>
      </c>
      <c r="P339" s="7">
        <v>6.9619935870488037E-2</v>
      </c>
      <c r="Q339" s="7"/>
      <c r="R339" s="13">
        <f t="shared" si="11"/>
        <v>1</v>
      </c>
      <c r="S339" s="7">
        <v>3.5621950623329201E-4</v>
      </c>
      <c r="T339" s="7">
        <v>7.8189280055505923E-3</v>
      </c>
      <c r="U339" s="7">
        <v>1.8128120904517819E-2</v>
      </c>
      <c r="V339" s="7">
        <v>3.5744154194480779E-2</v>
      </c>
      <c r="W339" s="7">
        <v>2.3901914335300342E-3</v>
      </c>
      <c r="X339" s="7">
        <v>1.146945762372658E-3</v>
      </c>
      <c r="Y339" s="7"/>
      <c r="Z339" s="14">
        <f>IFERROR(IF(INDEX('All GHED Countries'!$D$5:$AB$199,MATCH($B339,'All GHED Countries'!$B$5:$B$199,0),MATCH($D339,'All GHED Countries'!$D$4:$AB$4,0))="","",INDEX('All GHED Countries'!$D$5:$AB$199,MATCH($B339,'All GHED Countries'!$B$5:$B$199,0),MATCH($D339,'All GHED Countries'!$D$4:$AB$4,0))),"")</f>
        <v>5.6691946999999999E-2</v>
      </c>
    </row>
    <row r="340" spans="1:26" x14ac:dyDescent="0.2">
      <c r="A340" s="6" t="s">
        <v>128</v>
      </c>
      <c r="B340" s="6" t="s">
        <v>129</v>
      </c>
      <c r="C340" s="6"/>
      <c r="D340" s="6" t="s">
        <v>27</v>
      </c>
      <c r="E340" s="6" t="s">
        <v>453</v>
      </c>
      <c r="F340" s="7">
        <v>0.22206109989579009</v>
      </c>
      <c r="G340" s="7">
        <v>2.8291914861501351E-2</v>
      </c>
      <c r="H340" s="7">
        <v>4.2031309722216838E-2</v>
      </c>
      <c r="I340" s="7">
        <v>5.0431678960212611E-2</v>
      </c>
      <c r="J340" s="7">
        <v>0.28543502748309868</v>
      </c>
      <c r="K340" s="7">
        <v>1.14173441836016E-2</v>
      </c>
      <c r="L340" s="7">
        <v>7.6282227771996516E-2</v>
      </c>
      <c r="M340" s="12">
        <f t="shared" si="10"/>
        <v>7.0630826148152415E-2</v>
      </c>
      <c r="N340" s="7">
        <v>9.4115491749732286E-3</v>
      </c>
      <c r="O340" s="7">
        <v>0.1282202876873938</v>
      </c>
      <c r="P340" s="7">
        <v>7.5786734111062778E-2</v>
      </c>
      <c r="Q340" s="7"/>
      <c r="R340" s="13">
        <f t="shared" si="11"/>
        <v>0.99999999999999989</v>
      </c>
      <c r="S340" s="7">
        <v>2.219883562952954E-3</v>
      </c>
      <c r="T340" s="7">
        <v>1.434225572149293E-2</v>
      </c>
      <c r="U340" s="7">
        <v>1.9962805401570759E-2</v>
      </c>
      <c r="V340" s="7">
        <v>2.655522296593732E-2</v>
      </c>
      <c r="W340" s="7">
        <v>1.874332110736823E-3</v>
      </c>
      <c r="X340" s="7">
        <v>5.6763263854616294E-3</v>
      </c>
      <c r="Y340" s="7"/>
      <c r="Z340" s="14">
        <f>IFERROR(IF(INDEX('All GHED Countries'!$D$5:$AB$199,MATCH($B340,'All GHED Countries'!$B$5:$B$199,0),MATCH($D340,'All GHED Countries'!$D$4:$AB$4,0))="","",INDEX('All GHED Countries'!$D$5:$AB$199,MATCH($B340,'All GHED Countries'!$B$5:$B$199,0),MATCH($D340,'All GHED Countries'!$D$4:$AB$4,0))),"")</f>
        <v>6.4860811199999993E-2</v>
      </c>
    </row>
    <row r="341" spans="1:26" x14ac:dyDescent="0.2">
      <c r="A341" s="6" t="s">
        <v>128</v>
      </c>
      <c r="B341" s="6" t="s">
        <v>129</v>
      </c>
      <c r="C341" s="6"/>
      <c r="D341" s="6" t="s">
        <v>29</v>
      </c>
      <c r="E341" s="6" t="s">
        <v>452</v>
      </c>
      <c r="F341" s="7">
        <v>0.4071176814095695</v>
      </c>
      <c r="G341" s="7">
        <v>3.8637159171707208E-2</v>
      </c>
      <c r="H341" s="7">
        <v>4.5532364352068963E-2</v>
      </c>
      <c r="I341" s="7">
        <v>6.1839369471031337E-2</v>
      </c>
      <c r="J341" s="7">
        <v>0.16383631659484429</v>
      </c>
      <c r="K341" s="7">
        <v>4.6539301200668546E-3</v>
      </c>
      <c r="L341" s="7">
        <v>2.9949839964263741E-2</v>
      </c>
      <c r="M341" s="12">
        <f t="shared" si="10"/>
        <v>6.4016808311854675E-2</v>
      </c>
      <c r="N341" s="7">
        <v>4.008291218955495E-3</v>
      </c>
      <c r="O341" s="7">
        <v>3.6407948166913409E-2</v>
      </c>
      <c r="P341" s="7">
        <v>0.1440002912187244</v>
      </c>
      <c r="Q341" s="7"/>
      <c r="R341" s="13">
        <f t="shared" si="11"/>
        <v>0.99999999999999978</v>
      </c>
      <c r="S341" s="7">
        <v>9.4136158675250101E-4</v>
      </c>
      <c r="T341" s="7">
        <v>2.021414977370346E-2</v>
      </c>
      <c r="U341" s="7">
        <v>2.201519855546602E-2</v>
      </c>
      <c r="V341" s="7">
        <v>1.847002505872913E-2</v>
      </c>
      <c r="W341" s="7">
        <v>2.0621397369797239E-3</v>
      </c>
      <c r="X341" s="7">
        <v>3.1393360022384601E-4</v>
      </c>
      <c r="Y341" s="7"/>
      <c r="Z341" s="14">
        <f>IFERROR(IF(INDEX('All GHED Countries'!$D$5:$AB$199,MATCH($B341,'All GHED Countries'!$B$5:$B$199,0),MATCH($D341,'All GHED Countries'!$D$4:$AB$4,0))="","",INDEX('All GHED Countries'!$D$5:$AB$199,MATCH($B341,'All GHED Countries'!$B$5:$B$199,0),MATCH($D341,'All GHED Countries'!$D$4:$AB$4,0))),"")</f>
        <v>7.66042948E-2</v>
      </c>
    </row>
    <row r="342" spans="1:26" x14ac:dyDescent="0.2">
      <c r="A342" s="6" t="s">
        <v>130</v>
      </c>
      <c r="B342" s="6" t="s">
        <v>131</v>
      </c>
      <c r="C342" s="6"/>
      <c r="D342" s="6" t="s">
        <v>20</v>
      </c>
      <c r="E342" s="6" t="s">
        <v>452</v>
      </c>
      <c r="F342" s="7">
        <v>0.1321379010708145</v>
      </c>
      <c r="G342" s="7"/>
      <c r="H342" s="7">
        <v>3.0415019609552198E-2</v>
      </c>
      <c r="I342" s="7">
        <v>9.5308180000483592E-2</v>
      </c>
      <c r="J342" s="7">
        <v>0.1674800203188791</v>
      </c>
      <c r="K342" s="7">
        <v>4.2475279171052399E-3</v>
      </c>
      <c r="L342" s="7">
        <v>0.1096447011618254</v>
      </c>
      <c r="M342" s="12">
        <f t="shared" si="10"/>
        <v>0.1881250693931745</v>
      </c>
      <c r="N342" s="7">
        <v>8.6226345329557842E-3</v>
      </c>
      <c r="O342" s="7">
        <v>0.2306007385857419</v>
      </c>
      <c r="P342" s="7">
        <v>3.3418207409468437E-2</v>
      </c>
      <c r="Q342" s="7"/>
      <c r="R342" s="13">
        <f t="shared" si="11"/>
        <v>1.0000000000000007</v>
      </c>
      <c r="S342" s="7"/>
      <c r="T342" s="7"/>
      <c r="U342" s="7"/>
      <c r="V342" s="7"/>
      <c r="W342" s="7"/>
      <c r="X342" s="7"/>
      <c r="Y342" s="7">
        <v>0.1881250693931745</v>
      </c>
      <c r="Z342" s="14">
        <f>IFERROR(IF(INDEX('All GHED Countries'!$D$5:$AB$199,MATCH($B342,'All GHED Countries'!$B$5:$B$199,0),MATCH($D342,'All GHED Countries'!$D$4:$AB$4,0))="","",INDEX('All GHED Countries'!$D$5:$AB$199,MATCH($B342,'All GHED Countries'!$B$5:$B$199,0),MATCH($D342,'All GHED Countries'!$D$4:$AB$4,0))),"")</f>
        <v>0.16911611560000001</v>
      </c>
    </row>
    <row r="343" spans="1:26" x14ac:dyDescent="0.2">
      <c r="A343" s="6" t="s">
        <v>130</v>
      </c>
      <c r="B343" s="6" t="s">
        <v>131</v>
      </c>
      <c r="C343" s="6"/>
      <c r="D343" s="6" t="s">
        <v>21</v>
      </c>
      <c r="E343" s="6" t="s">
        <v>452</v>
      </c>
      <c r="F343" s="7">
        <v>0.12803712912303999</v>
      </c>
      <c r="G343" s="7"/>
      <c r="H343" s="7">
        <v>3.0169707512506382E-2</v>
      </c>
      <c r="I343" s="7">
        <v>9.9037459427803259E-2</v>
      </c>
      <c r="J343" s="7">
        <v>0.16620594617894641</v>
      </c>
      <c r="K343" s="7">
        <v>3.7697191454373309E-3</v>
      </c>
      <c r="L343" s="7">
        <v>0.12068487437177371</v>
      </c>
      <c r="M343" s="12">
        <f t="shared" si="10"/>
        <v>0.18408367314657131</v>
      </c>
      <c r="N343" s="7">
        <v>1.165509673686666E-2</v>
      </c>
      <c r="O343" s="7">
        <v>0.22357302548692601</v>
      </c>
      <c r="P343" s="7">
        <v>3.278336887012881E-2</v>
      </c>
      <c r="Q343" s="7"/>
      <c r="R343" s="13">
        <f t="shared" si="11"/>
        <v>1</v>
      </c>
      <c r="S343" s="7"/>
      <c r="T343" s="7"/>
      <c r="U343" s="7"/>
      <c r="V343" s="7"/>
      <c r="W343" s="7"/>
      <c r="X343" s="7"/>
      <c r="Y343" s="7">
        <v>0.18408367314657131</v>
      </c>
      <c r="Z343" s="14">
        <f>IFERROR(IF(INDEX('All GHED Countries'!$D$5:$AB$199,MATCH($B343,'All GHED Countries'!$B$5:$B$199,0),MATCH($D343,'All GHED Countries'!$D$4:$AB$4,0))="","",INDEX('All GHED Countries'!$D$5:$AB$199,MATCH($B343,'All GHED Countries'!$B$5:$B$199,0),MATCH($D343,'All GHED Countries'!$D$4:$AB$4,0))),"")</f>
        <v>0.17550643919999989</v>
      </c>
    </row>
    <row r="344" spans="1:26" x14ac:dyDescent="0.2">
      <c r="A344" s="6" t="s">
        <v>130</v>
      </c>
      <c r="B344" s="6" t="s">
        <v>131</v>
      </c>
      <c r="C344" s="6"/>
      <c r="D344" s="6" t="s">
        <v>22</v>
      </c>
      <c r="E344" s="6" t="s">
        <v>452</v>
      </c>
      <c r="F344" s="7">
        <v>0.13891133773398501</v>
      </c>
      <c r="G344" s="7"/>
      <c r="H344" s="7">
        <v>3.151389838436329E-2</v>
      </c>
      <c r="I344" s="7">
        <v>9.9559163407848039E-2</v>
      </c>
      <c r="J344" s="7">
        <v>0.1763563925407414</v>
      </c>
      <c r="K344" s="7">
        <v>3.3550677854293112E-3</v>
      </c>
      <c r="L344" s="7">
        <v>0.1051477522000893</v>
      </c>
      <c r="M344" s="12">
        <f t="shared" si="10"/>
        <v>0.17555557754034321</v>
      </c>
      <c r="N344" s="7">
        <v>1.0766748737722161E-2</v>
      </c>
      <c r="O344" s="7">
        <v>0.22998696757449091</v>
      </c>
      <c r="P344" s="7">
        <v>2.8847094094987459E-2</v>
      </c>
      <c r="Q344" s="7"/>
      <c r="R344" s="13">
        <f t="shared" si="11"/>
        <v>1.0000000000000002</v>
      </c>
      <c r="S344" s="7"/>
      <c r="T344" s="7"/>
      <c r="U344" s="7"/>
      <c r="V344" s="7"/>
      <c r="W344" s="7"/>
      <c r="X344" s="7"/>
      <c r="Y344" s="7">
        <v>0.17555557754034321</v>
      </c>
      <c r="Z344" s="14">
        <f>IFERROR(IF(INDEX('All GHED Countries'!$D$5:$AB$199,MATCH($B344,'All GHED Countries'!$B$5:$B$199,0),MATCH($D344,'All GHED Countries'!$D$4:$AB$4,0))="","",INDEX('All GHED Countries'!$D$5:$AB$199,MATCH($B344,'All GHED Countries'!$B$5:$B$199,0),MATCH($D344,'All GHED Countries'!$D$4:$AB$4,0))),"")</f>
        <v>0.17329458240000001</v>
      </c>
    </row>
    <row r="345" spans="1:26" x14ac:dyDescent="0.2">
      <c r="A345" s="6" t="s">
        <v>130</v>
      </c>
      <c r="B345" s="6" t="s">
        <v>131</v>
      </c>
      <c r="C345" s="6"/>
      <c r="D345" s="6" t="s">
        <v>23</v>
      </c>
      <c r="E345" s="6" t="s">
        <v>452</v>
      </c>
      <c r="F345" s="7">
        <v>0.14158415938510729</v>
      </c>
      <c r="G345" s="7"/>
      <c r="H345" s="7">
        <v>3.2417930870133928E-2</v>
      </c>
      <c r="I345" s="7">
        <v>9.8955850183769914E-2</v>
      </c>
      <c r="J345" s="7">
        <v>0.1730253956515844</v>
      </c>
      <c r="K345" s="7">
        <v>3.863389572540378E-3</v>
      </c>
      <c r="L345" s="7">
        <v>0.1046654417741687</v>
      </c>
      <c r="M345" s="12">
        <f t="shared" si="10"/>
        <v>0.1770931678225981</v>
      </c>
      <c r="N345" s="7">
        <v>1.6077266147924572E-2</v>
      </c>
      <c r="O345" s="7">
        <v>0.22682864720063581</v>
      </c>
      <c r="P345" s="7">
        <v>2.5488751391536949E-2</v>
      </c>
      <c r="Q345" s="7"/>
      <c r="R345" s="13">
        <f t="shared" si="11"/>
        <v>1</v>
      </c>
      <c r="S345" s="7"/>
      <c r="T345" s="7"/>
      <c r="U345" s="7"/>
      <c r="V345" s="7"/>
      <c r="W345" s="7"/>
      <c r="X345" s="7"/>
      <c r="Y345" s="7">
        <v>0.1770931678225981</v>
      </c>
      <c r="Z345" s="14">
        <f>IFERROR(IF(INDEX('All GHED Countries'!$D$5:$AB$199,MATCH($B345,'All GHED Countries'!$B$5:$B$199,0),MATCH($D345,'All GHED Countries'!$D$4:$AB$4,0))="","",INDEX('All GHED Countries'!$D$5:$AB$199,MATCH($B345,'All GHED Countries'!$B$5:$B$199,0),MATCH($D345,'All GHED Countries'!$D$4:$AB$4,0))),"")</f>
        <v>0.17787366869999999</v>
      </c>
    </row>
    <row r="346" spans="1:26" x14ac:dyDescent="0.2">
      <c r="A346" s="6" t="s">
        <v>130</v>
      </c>
      <c r="B346" s="6" t="s">
        <v>131</v>
      </c>
      <c r="C346" s="6"/>
      <c r="D346" s="6" t="s">
        <v>24</v>
      </c>
      <c r="E346" s="6" t="s">
        <v>452</v>
      </c>
      <c r="F346" s="7">
        <v>0.1306488697405491</v>
      </c>
      <c r="G346" s="7"/>
      <c r="H346" s="7">
        <v>3.3446198654921232E-2</v>
      </c>
      <c r="I346" s="7">
        <v>0.1043237518276264</v>
      </c>
      <c r="J346" s="7">
        <v>0.16616155249985159</v>
      </c>
      <c r="K346" s="7">
        <v>6.5946747067941224E-3</v>
      </c>
      <c r="L346" s="7">
        <v>0.1260938256385018</v>
      </c>
      <c r="M346" s="12">
        <f t="shared" si="10"/>
        <v>0.17807694910169591</v>
      </c>
      <c r="N346" s="7">
        <v>1.2846972863929719E-2</v>
      </c>
      <c r="O346" s="7">
        <v>0.22857566358780801</v>
      </c>
      <c r="P346" s="7">
        <v>1.3231541378322199E-2</v>
      </c>
      <c r="Q346" s="7"/>
      <c r="R346" s="13">
        <f t="shared" si="11"/>
        <v>1.0000000000000002</v>
      </c>
      <c r="S346" s="7"/>
      <c r="T346" s="7"/>
      <c r="U346" s="7"/>
      <c r="V346" s="7"/>
      <c r="W346" s="7"/>
      <c r="X346" s="7"/>
      <c r="Y346" s="7">
        <v>0.17807694910169591</v>
      </c>
      <c r="Z346" s="14">
        <f>IFERROR(IF(INDEX('All GHED Countries'!$D$5:$AB$199,MATCH($B346,'All GHED Countries'!$B$5:$B$199,0),MATCH($D346,'All GHED Countries'!$D$4:$AB$4,0))="","",INDEX('All GHED Countries'!$D$5:$AB$199,MATCH($B346,'All GHED Countries'!$B$5:$B$199,0),MATCH($D346,'All GHED Countries'!$D$4:$AB$4,0))),"")</f>
        <v>0.18703578949999999</v>
      </c>
    </row>
    <row r="347" spans="1:26" x14ac:dyDescent="0.2">
      <c r="A347" s="6" t="s">
        <v>130</v>
      </c>
      <c r="B347" s="6" t="s">
        <v>131</v>
      </c>
      <c r="C347" s="6"/>
      <c r="D347" s="6" t="s">
        <v>25</v>
      </c>
      <c r="E347" s="6" t="s">
        <v>452</v>
      </c>
      <c r="F347" s="7">
        <v>0.14033871022743161</v>
      </c>
      <c r="G347" s="7"/>
      <c r="H347" s="7">
        <v>3.3386934930129883E-2</v>
      </c>
      <c r="I347" s="7">
        <v>0.1049356227480704</v>
      </c>
      <c r="J347" s="7">
        <v>0.17360659777657009</v>
      </c>
      <c r="K347" s="7">
        <v>8.9555322634608005E-3</v>
      </c>
      <c r="L347" s="7">
        <v>7.7117925605423215E-2</v>
      </c>
      <c r="M347" s="12">
        <f t="shared" si="10"/>
        <v>0.18388743485308531</v>
      </c>
      <c r="N347" s="7">
        <v>7.8558799618713617E-3</v>
      </c>
      <c r="O347" s="7">
        <v>0.2395077408328051</v>
      </c>
      <c r="P347" s="7">
        <v>3.0407620801152078E-2</v>
      </c>
      <c r="Q347" s="7"/>
      <c r="R347" s="13">
        <f t="shared" si="11"/>
        <v>0.99999999999999989</v>
      </c>
      <c r="S347" s="7"/>
      <c r="T347" s="7"/>
      <c r="U347" s="7"/>
      <c r="V347" s="7"/>
      <c r="W347" s="7"/>
      <c r="X347" s="7"/>
      <c r="Y347" s="7">
        <v>0.18388743485308531</v>
      </c>
      <c r="Z347" s="14">
        <f>IFERROR(IF(INDEX('All GHED Countries'!$D$5:$AB$199,MATCH($B347,'All GHED Countries'!$B$5:$B$199,0),MATCH($D347,'All GHED Countries'!$D$4:$AB$4,0))="","",INDEX('All GHED Countries'!$D$5:$AB$199,MATCH($B347,'All GHED Countries'!$B$5:$B$199,0),MATCH($D347,'All GHED Countries'!$D$4:$AB$4,0))),"")</f>
        <v>0.18925168989999999</v>
      </c>
    </row>
    <row r="348" spans="1:26" x14ac:dyDescent="0.2">
      <c r="A348" s="6" t="s">
        <v>130</v>
      </c>
      <c r="B348" s="6" t="s">
        <v>131</v>
      </c>
      <c r="C348" s="6"/>
      <c r="D348" s="6" t="s">
        <v>26</v>
      </c>
      <c r="E348" s="6" t="s">
        <v>452</v>
      </c>
      <c r="F348" s="7">
        <v>0.12661686031032271</v>
      </c>
      <c r="G348" s="7"/>
      <c r="H348" s="7">
        <v>3.0709459691634571E-2</v>
      </c>
      <c r="I348" s="7">
        <v>9.9714773860465677E-2</v>
      </c>
      <c r="J348" s="7">
        <v>0.1913329896598486</v>
      </c>
      <c r="K348" s="7">
        <v>8.7285582858296074E-3</v>
      </c>
      <c r="L348" s="7">
        <v>7.158716561647753E-2</v>
      </c>
      <c r="M348" s="12">
        <f t="shared" si="10"/>
        <v>0.20101415504988959</v>
      </c>
      <c r="N348" s="7">
        <v>8.29765327924545E-3</v>
      </c>
      <c r="O348" s="7">
        <v>0.2282331397979587</v>
      </c>
      <c r="P348" s="7">
        <v>3.376524444832759E-2</v>
      </c>
      <c r="Q348" s="7"/>
      <c r="R348" s="13">
        <f t="shared" si="11"/>
        <v>1</v>
      </c>
      <c r="S348" s="7"/>
      <c r="T348" s="7"/>
      <c r="U348" s="7"/>
      <c r="V348" s="7"/>
      <c r="W348" s="7"/>
      <c r="X348" s="7"/>
      <c r="Y348" s="7">
        <v>0.20101415504988959</v>
      </c>
      <c r="Z348" s="14">
        <f>IFERROR(IF(INDEX('All GHED Countries'!$D$5:$AB$199,MATCH($B348,'All GHED Countries'!$B$5:$B$199,0),MATCH($D348,'All GHED Countries'!$D$4:$AB$4,0))="","",INDEX('All GHED Countries'!$D$5:$AB$199,MATCH($B348,'All GHED Countries'!$B$5:$B$199,0),MATCH($D348,'All GHED Countries'!$D$4:$AB$4,0))),"")</f>
        <v>0.1829687119</v>
      </c>
    </row>
    <row r="349" spans="1:26" x14ac:dyDescent="0.2">
      <c r="A349" s="6" t="s">
        <v>130</v>
      </c>
      <c r="B349" s="6" t="s">
        <v>131</v>
      </c>
      <c r="C349" s="6"/>
      <c r="D349" s="6" t="s">
        <v>27</v>
      </c>
      <c r="E349" s="6" t="s">
        <v>452</v>
      </c>
      <c r="F349" s="7">
        <v>0.11791931816912141</v>
      </c>
      <c r="G349" s="7"/>
      <c r="H349" s="7">
        <v>2.65239012982952E-2</v>
      </c>
      <c r="I349" s="7">
        <v>8.990299066161539E-2</v>
      </c>
      <c r="J349" s="7">
        <v>0.22462443202787349</v>
      </c>
      <c r="K349" s="7">
        <v>7.5589610866707404E-3</v>
      </c>
      <c r="L349" s="7">
        <v>5.6477320446148907E-2</v>
      </c>
      <c r="M349" s="12">
        <f t="shared" si="10"/>
        <v>0.243878393936732</v>
      </c>
      <c r="N349" s="7">
        <v>1.035950108106269E-2</v>
      </c>
      <c r="O349" s="7">
        <v>0.18740423849583709</v>
      </c>
      <c r="P349" s="7">
        <v>3.5350942796643192E-2</v>
      </c>
      <c r="Q349" s="7"/>
      <c r="R349" s="13">
        <f t="shared" si="11"/>
        <v>1</v>
      </c>
      <c r="S349" s="7"/>
      <c r="T349" s="7"/>
      <c r="U349" s="7"/>
      <c r="V349" s="7"/>
      <c r="W349" s="7"/>
      <c r="X349" s="7"/>
      <c r="Y349" s="7">
        <v>0.243878393936732</v>
      </c>
      <c r="Z349" s="14">
        <f>IFERROR(IF(INDEX('All GHED Countries'!$D$5:$AB$199,MATCH($B349,'All GHED Countries'!$B$5:$B$199,0),MATCH($D349,'All GHED Countries'!$D$4:$AB$4,0))="","",INDEX('All GHED Countries'!$D$5:$AB$199,MATCH($B349,'All GHED Countries'!$B$5:$B$199,0),MATCH($D349,'All GHED Countries'!$D$4:$AB$4,0))),"")</f>
        <v>0.20180524829999999</v>
      </c>
    </row>
    <row r="350" spans="1:26" x14ac:dyDescent="0.2">
      <c r="A350" s="6" t="s">
        <v>130</v>
      </c>
      <c r="B350" s="6" t="s">
        <v>131</v>
      </c>
      <c r="C350" s="6"/>
      <c r="D350" s="6" t="s">
        <v>28</v>
      </c>
      <c r="E350" s="6" t="s">
        <v>452</v>
      </c>
      <c r="F350" s="7">
        <v>0.1289859007074062</v>
      </c>
      <c r="G350" s="7"/>
      <c r="H350" s="7">
        <v>2.969525198231358E-2</v>
      </c>
      <c r="I350" s="7">
        <v>8.9579378306111582E-2</v>
      </c>
      <c r="J350" s="7">
        <v>0.23803533652612871</v>
      </c>
      <c r="K350" s="7">
        <v>5.5133506061324491E-3</v>
      </c>
      <c r="L350" s="7">
        <v>6.6296120541519593E-2</v>
      </c>
      <c r="M350" s="12">
        <f t="shared" si="10"/>
        <v>0.2068451565810244</v>
      </c>
      <c r="N350" s="7">
        <v>1.1020097025761059E-2</v>
      </c>
      <c r="O350" s="7">
        <v>0.18624695336862221</v>
      </c>
      <c r="P350" s="7">
        <v>3.7782454354980261E-2</v>
      </c>
      <c r="Q350" s="7"/>
      <c r="R350" s="13">
        <f t="shared" si="11"/>
        <v>1</v>
      </c>
      <c r="S350" s="7"/>
      <c r="T350" s="7"/>
      <c r="U350" s="7"/>
      <c r="V350" s="7"/>
      <c r="W350" s="7"/>
      <c r="X350" s="7"/>
      <c r="Y350" s="7">
        <v>0.2068451565810244</v>
      </c>
      <c r="Z350" s="14">
        <f>IFERROR(IF(INDEX('All GHED Countries'!$D$5:$AB$199,MATCH($B350,'All GHED Countries'!$B$5:$B$199,0),MATCH($D350,'All GHED Countries'!$D$4:$AB$4,0))="","",INDEX('All GHED Countries'!$D$5:$AB$199,MATCH($B350,'All GHED Countries'!$B$5:$B$199,0),MATCH($D350,'All GHED Countries'!$D$4:$AB$4,0))),"")</f>
        <v>0.1809780312</v>
      </c>
    </row>
    <row r="351" spans="1:26" x14ac:dyDescent="0.2">
      <c r="A351" s="6" t="s">
        <v>130</v>
      </c>
      <c r="B351" s="6" t="s">
        <v>131</v>
      </c>
      <c r="C351" s="6"/>
      <c r="D351" s="6" t="s">
        <v>29</v>
      </c>
      <c r="E351" s="6" t="s">
        <v>452</v>
      </c>
      <c r="F351" s="7">
        <v>0.1443289650278935</v>
      </c>
      <c r="G351" s="7"/>
      <c r="H351" s="7">
        <v>2.892050496998334E-2</v>
      </c>
      <c r="I351" s="7">
        <v>8.9712976361728355E-2</v>
      </c>
      <c r="J351" s="7">
        <v>0.17336192988835769</v>
      </c>
      <c r="K351" s="7">
        <v>9.2748896592140355E-3</v>
      </c>
      <c r="L351" s="7">
        <v>9.371681167554137E-2</v>
      </c>
      <c r="M351" s="12">
        <f t="shared" si="10"/>
        <v>0.18853649752296939</v>
      </c>
      <c r="N351" s="7">
        <v>1.7131713218131641E-2</v>
      </c>
      <c r="O351" s="7">
        <v>0.19242335555405671</v>
      </c>
      <c r="P351" s="7">
        <v>6.2592356122123827E-2</v>
      </c>
      <c r="Q351" s="7"/>
      <c r="R351" s="13">
        <f t="shared" si="11"/>
        <v>0.99999999999999978</v>
      </c>
      <c r="S351" s="7"/>
      <c r="T351" s="7"/>
      <c r="U351" s="7"/>
      <c r="V351" s="7"/>
      <c r="W351" s="7"/>
      <c r="X351" s="7"/>
      <c r="Y351" s="7">
        <v>0.18853649752296939</v>
      </c>
      <c r="Z351" s="14">
        <f>IFERROR(IF(INDEX('All GHED Countries'!$D$5:$AB$199,MATCH($B351,'All GHED Countries'!$B$5:$B$199,0),MATCH($D351,'All GHED Countries'!$D$4:$AB$4,0))="","",INDEX('All GHED Countries'!$D$5:$AB$199,MATCH($B351,'All GHED Countries'!$B$5:$B$199,0),MATCH($D351,'All GHED Countries'!$D$4:$AB$4,0))),"")</f>
        <v>0.18289672849999999</v>
      </c>
    </row>
    <row r="352" spans="1:26" x14ac:dyDescent="0.2">
      <c r="A352" s="6" t="s">
        <v>130</v>
      </c>
      <c r="B352" s="6" t="s">
        <v>131</v>
      </c>
      <c r="C352" s="6"/>
      <c r="D352" s="6" t="s">
        <v>30</v>
      </c>
      <c r="E352" s="6" t="s">
        <v>452</v>
      </c>
      <c r="F352" s="7">
        <v>0.1348429785468962</v>
      </c>
      <c r="G352" s="7"/>
      <c r="H352" s="7">
        <v>2.8315237773798831E-2</v>
      </c>
      <c r="I352" s="7">
        <v>7.8246316709105271E-2</v>
      </c>
      <c r="J352" s="7">
        <v>0.21823412527127339</v>
      </c>
      <c r="K352" s="7">
        <v>6.299632880051205E-3</v>
      </c>
      <c r="L352" s="7">
        <v>0.1148827396986382</v>
      </c>
      <c r="M352" s="12">
        <f t="shared" si="10"/>
        <v>0.1680311215260554</v>
      </c>
      <c r="N352" s="7">
        <v>1.6920169211195751E-2</v>
      </c>
      <c r="O352" s="7">
        <v>0.18032138274339191</v>
      </c>
      <c r="P352" s="7">
        <v>5.3906295639593808E-2</v>
      </c>
      <c r="Q352" s="7"/>
      <c r="R352" s="13">
        <f t="shared" si="11"/>
        <v>1</v>
      </c>
      <c r="S352" s="7"/>
      <c r="T352" s="7"/>
      <c r="U352" s="7"/>
      <c r="V352" s="7"/>
      <c r="W352" s="7"/>
      <c r="X352" s="7"/>
      <c r="Y352" s="7">
        <v>0.1680311215260554</v>
      </c>
      <c r="Z352" s="14" t="str">
        <f>IFERROR(IF(INDEX('All GHED Countries'!$D$5:$AB$199,MATCH($B352,'All GHED Countries'!$B$5:$B$199,0),MATCH($D352,'All GHED Countries'!$D$4:$AB$4,0))="","",INDEX('All GHED Countries'!$D$5:$AB$199,MATCH($B352,'All GHED Countries'!$B$5:$B$199,0),MATCH($D352,'All GHED Countries'!$D$4:$AB$4,0))),"")</f>
        <v/>
      </c>
    </row>
    <row r="353" spans="1:26" x14ac:dyDescent="0.2">
      <c r="A353" s="6" t="s">
        <v>134</v>
      </c>
      <c r="B353" s="6" t="s">
        <v>135</v>
      </c>
      <c r="C353" s="6" t="s">
        <v>49</v>
      </c>
      <c r="D353" s="6" t="s">
        <v>11</v>
      </c>
      <c r="E353" s="6" t="s">
        <v>452</v>
      </c>
      <c r="F353" s="7">
        <v>1.244921345973499E-2</v>
      </c>
      <c r="G353" s="7">
        <v>0.20522971142827401</v>
      </c>
      <c r="H353" s="7">
        <v>4.6098551932492987E-2</v>
      </c>
      <c r="I353" s="7">
        <v>5.19845817272633E-2</v>
      </c>
      <c r="J353" s="7">
        <v>0.167986248567559</v>
      </c>
      <c r="K353" s="7"/>
      <c r="L353" s="7">
        <v>3.4899468694655701E-3</v>
      </c>
      <c r="M353" s="12">
        <f t="shared" si="10"/>
        <v>4.0368788415459898E-2</v>
      </c>
      <c r="N353" s="7"/>
      <c r="O353" s="7">
        <v>5.9745806854880713E-2</v>
      </c>
      <c r="P353" s="7">
        <v>1.6043337847692501E-2</v>
      </c>
      <c r="Q353" s="7">
        <v>0.39660381289717711</v>
      </c>
      <c r="R353" s="13">
        <f t="shared" si="11"/>
        <v>1.0000000000000002</v>
      </c>
      <c r="S353" s="7"/>
      <c r="T353" s="7">
        <v>0</v>
      </c>
      <c r="U353" s="7">
        <v>0</v>
      </c>
      <c r="V353" s="7">
        <v>0</v>
      </c>
      <c r="W353" s="7"/>
      <c r="X353" s="7"/>
      <c r="Y353" s="7">
        <v>4.0368788415459898E-2</v>
      </c>
      <c r="Z353" s="14">
        <f>IFERROR(IF(INDEX('All GHED Countries'!$D$5:$AB$199,MATCH($B353,'All GHED Countries'!$B$5:$B$199,0),MATCH($D353,'All GHED Countries'!$D$4:$AB$4,0))="","",INDEX('All GHED Countries'!$D$5:$AB$199,MATCH($B353,'All GHED Countries'!$B$5:$B$199,0),MATCH($D353,'All GHED Countries'!$D$4:$AB$4,0))),"")</f>
        <v>6.4077029199999996E-2</v>
      </c>
    </row>
    <row r="354" spans="1:26" x14ac:dyDescent="0.2">
      <c r="A354" s="6" t="s">
        <v>134</v>
      </c>
      <c r="B354" s="6" t="s">
        <v>135</v>
      </c>
      <c r="C354" s="6" t="s">
        <v>49</v>
      </c>
      <c r="D354" s="6" t="s">
        <v>12</v>
      </c>
      <c r="E354" s="6" t="s">
        <v>452</v>
      </c>
      <c r="F354" s="7">
        <v>0.11172718351324799</v>
      </c>
      <c r="G354" s="7">
        <v>0.122325809617272</v>
      </c>
      <c r="H354" s="7">
        <v>4.9018645731108902E-2</v>
      </c>
      <c r="I354" s="7">
        <v>6.4082433758586896E-2</v>
      </c>
      <c r="J354" s="7">
        <v>0.16633954857703601</v>
      </c>
      <c r="K354" s="7"/>
      <c r="L354" s="7">
        <v>1.3738959764475001E-3</v>
      </c>
      <c r="M354" s="12">
        <f t="shared" si="10"/>
        <v>4.6368989205103003E-2</v>
      </c>
      <c r="N354" s="7"/>
      <c r="O354" s="7">
        <v>7.44357212953876E-2</v>
      </c>
      <c r="P354" s="7">
        <v>1.3101079489695799E-2</v>
      </c>
      <c r="Q354" s="7">
        <v>0.3512266928361143</v>
      </c>
      <c r="R354" s="13">
        <f t="shared" si="11"/>
        <v>1</v>
      </c>
      <c r="S354" s="7"/>
      <c r="T354" s="7">
        <v>0</v>
      </c>
      <c r="U354" s="7">
        <v>0</v>
      </c>
      <c r="V354" s="7">
        <v>0</v>
      </c>
      <c r="W354" s="7"/>
      <c r="X354" s="7"/>
      <c r="Y354" s="7">
        <v>4.6368989205103003E-2</v>
      </c>
      <c r="Z354" s="14">
        <f>IFERROR(IF(INDEX('All GHED Countries'!$D$5:$AB$199,MATCH($B354,'All GHED Countries'!$B$5:$B$199,0),MATCH($D354,'All GHED Countries'!$D$4:$AB$4,0))="","",INDEX('All GHED Countries'!$D$5:$AB$199,MATCH($B354,'All GHED Countries'!$B$5:$B$199,0),MATCH($D354,'All GHED Countries'!$D$4:$AB$4,0))),"")</f>
        <v>7.3223447799999994E-2</v>
      </c>
    </row>
    <row r="355" spans="1:26" x14ac:dyDescent="0.2">
      <c r="A355" s="6" t="s">
        <v>134</v>
      </c>
      <c r="B355" s="6" t="s">
        <v>135</v>
      </c>
      <c r="C355" s="6" t="s">
        <v>49</v>
      </c>
      <c r="D355" s="6" t="s">
        <v>13</v>
      </c>
      <c r="E355" s="6" t="s">
        <v>452</v>
      </c>
      <c r="F355" s="7">
        <v>0.1414582398302669</v>
      </c>
      <c r="G355" s="7">
        <v>8.7192459912685094E-2</v>
      </c>
      <c r="H355" s="7">
        <v>3.9332490105675501E-2</v>
      </c>
      <c r="I355" s="7">
        <v>8.0174629727855093E-2</v>
      </c>
      <c r="J355" s="7">
        <v>0.21694071565547399</v>
      </c>
      <c r="K355" s="7"/>
      <c r="L355" s="7">
        <v>2.36647762046595E-3</v>
      </c>
      <c r="M355" s="12">
        <f t="shared" si="10"/>
        <v>7.2952792851605497E-2</v>
      </c>
      <c r="N355" s="7"/>
      <c r="O355" s="7">
        <v>8.0623444448977899E-2</v>
      </c>
      <c r="P355" s="7">
        <v>1.2730017544575501E-2</v>
      </c>
      <c r="Q355" s="7">
        <v>0.2662287323024185</v>
      </c>
      <c r="R355" s="13">
        <f t="shared" si="11"/>
        <v>0.99999999999999989</v>
      </c>
      <c r="S355" s="7"/>
      <c r="T355" s="7">
        <v>0</v>
      </c>
      <c r="U355" s="7">
        <v>0</v>
      </c>
      <c r="V355" s="7">
        <v>0</v>
      </c>
      <c r="W355" s="7"/>
      <c r="X355" s="7"/>
      <c r="Y355" s="7">
        <v>7.2952792851605497E-2</v>
      </c>
      <c r="Z355" s="14">
        <f>IFERROR(IF(INDEX('All GHED Countries'!$D$5:$AB$199,MATCH($B355,'All GHED Countries'!$B$5:$B$199,0),MATCH($D355,'All GHED Countries'!$D$4:$AB$4,0))="","",INDEX('All GHED Countries'!$D$5:$AB$199,MATCH($B355,'All GHED Countries'!$B$5:$B$199,0),MATCH($D355,'All GHED Countries'!$D$4:$AB$4,0))),"")</f>
        <v>4.2935776699999997E-2</v>
      </c>
    </row>
    <row r="356" spans="1:26" x14ac:dyDescent="0.2">
      <c r="A356" s="6" t="s">
        <v>134</v>
      </c>
      <c r="B356" s="6" t="s">
        <v>135</v>
      </c>
      <c r="C356" s="6" t="s">
        <v>49</v>
      </c>
      <c r="D356" s="6" t="s">
        <v>14</v>
      </c>
      <c r="E356" s="6" t="s">
        <v>452</v>
      </c>
      <c r="F356" s="7">
        <v>8.7321423061494999E-2</v>
      </c>
      <c r="G356" s="7">
        <v>0.11762164830756899</v>
      </c>
      <c r="H356" s="7">
        <v>3.9526057576599098E-2</v>
      </c>
      <c r="I356" s="7">
        <v>6.9672004690055203E-2</v>
      </c>
      <c r="J356" s="7">
        <v>0.24971458545465799</v>
      </c>
      <c r="K356" s="7"/>
      <c r="L356" s="7">
        <v>2.74615076059119E-3</v>
      </c>
      <c r="M356" s="12">
        <f t="shared" si="10"/>
        <v>6.02918942269123E-2</v>
      </c>
      <c r="N356" s="7"/>
      <c r="O356" s="7">
        <v>6.5660773242000703E-2</v>
      </c>
      <c r="P356" s="7">
        <v>2.3697121170045399E-2</v>
      </c>
      <c r="Q356" s="7">
        <v>0.28374834151007411</v>
      </c>
      <c r="R356" s="13">
        <f t="shared" si="11"/>
        <v>0.99999999999999989</v>
      </c>
      <c r="S356" s="7"/>
      <c r="T356" s="7">
        <v>0</v>
      </c>
      <c r="U356" s="7">
        <v>0</v>
      </c>
      <c r="V356" s="7">
        <v>0</v>
      </c>
      <c r="W356" s="7"/>
      <c r="X356" s="7"/>
      <c r="Y356" s="7">
        <v>6.02918942269123E-2</v>
      </c>
      <c r="Z356" s="14">
        <f>IFERROR(IF(INDEX('All GHED Countries'!$D$5:$AB$199,MATCH($B356,'All GHED Countries'!$B$5:$B$199,0),MATCH($D356,'All GHED Countries'!$D$4:$AB$4,0))="","",INDEX('All GHED Countries'!$D$5:$AB$199,MATCH($B356,'All GHED Countries'!$B$5:$B$199,0),MATCH($D356,'All GHED Countries'!$D$4:$AB$4,0))),"")</f>
        <v>4.5940451599999987E-2</v>
      </c>
    </row>
    <row r="357" spans="1:26" x14ac:dyDescent="0.2">
      <c r="A357" s="6" t="s">
        <v>134</v>
      </c>
      <c r="B357" s="6" t="s">
        <v>135</v>
      </c>
      <c r="C357" s="6" t="s">
        <v>49</v>
      </c>
      <c r="D357" s="6" t="s">
        <v>15</v>
      </c>
      <c r="E357" s="6" t="s">
        <v>452</v>
      </c>
      <c r="F357" s="7">
        <v>0.15317559153175619</v>
      </c>
      <c r="G357" s="7">
        <v>7.292420863621879E-2</v>
      </c>
      <c r="H357" s="7">
        <v>3.0727794028208199E-2</v>
      </c>
      <c r="I357" s="7">
        <v>7.3503431897824989E-2</v>
      </c>
      <c r="J357" s="7">
        <v>0.23840829447710599</v>
      </c>
      <c r="K357" s="7"/>
      <c r="L357" s="7"/>
      <c r="M357" s="12">
        <f t="shared" si="10"/>
        <v>4.1327579715601387E-2</v>
      </c>
      <c r="N357" s="7"/>
      <c r="O357" s="7">
        <v>5.2274899359958299E-2</v>
      </c>
      <c r="P357" s="7">
        <v>4.3934084392829198E-2</v>
      </c>
      <c r="Q357" s="7">
        <v>0.29372411596049691</v>
      </c>
      <c r="R357" s="13">
        <f t="shared" si="11"/>
        <v>1</v>
      </c>
      <c r="S357" s="7"/>
      <c r="T357" s="7">
        <v>0</v>
      </c>
      <c r="U357" s="7">
        <v>0</v>
      </c>
      <c r="V357" s="7">
        <v>0</v>
      </c>
      <c r="W357" s="7"/>
      <c r="X357" s="7"/>
      <c r="Y357" s="7">
        <v>4.1327579715601387E-2</v>
      </c>
      <c r="Z357" s="14">
        <f>IFERROR(IF(INDEX('All GHED Countries'!$D$5:$AB$199,MATCH($B357,'All GHED Countries'!$B$5:$B$199,0),MATCH($D357,'All GHED Countries'!$D$4:$AB$4,0))="","",INDEX('All GHED Countries'!$D$5:$AB$199,MATCH($B357,'All GHED Countries'!$B$5:$B$199,0),MATCH($D357,'All GHED Countries'!$D$4:$AB$4,0))),"")</f>
        <v>3.6939575699999998E-2</v>
      </c>
    </row>
    <row r="358" spans="1:26" x14ac:dyDescent="0.2">
      <c r="A358" s="6" t="s">
        <v>134</v>
      </c>
      <c r="B358" s="6" t="s">
        <v>135</v>
      </c>
      <c r="C358" s="6" t="s">
        <v>49</v>
      </c>
      <c r="D358" s="6" t="s">
        <v>16</v>
      </c>
      <c r="E358" s="6" t="s">
        <v>452</v>
      </c>
      <c r="F358" s="7">
        <v>0.14399122702457839</v>
      </c>
      <c r="G358" s="7">
        <v>9.9101246811452604E-2</v>
      </c>
      <c r="H358" s="7">
        <v>5.4235106205449697E-2</v>
      </c>
      <c r="I358" s="7">
        <v>6.7823682265716292E-2</v>
      </c>
      <c r="J358" s="7">
        <v>0.19188499773523701</v>
      </c>
      <c r="K358" s="7"/>
      <c r="L358" s="7">
        <v>4.86327985314802E-3</v>
      </c>
      <c r="M358" s="12">
        <f t="shared" si="10"/>
        <v>3.19689131523112E-2</v>
      </c>
      <c r="N358" s="7"/>
      <c r="O358" s="7">
        <v>6.1673063627911397E-2</v>
      </c>
      <c r="P358" s="7">
        <v>7.2853839368727205E-2</v>
      </c>
      <c r="Q358" s="7">
        <v>0.27160464395546818</v>
      </c>
      <c r="R358" s="13">
        <f t="shared" si="11"/>
        <v>1</v>
      </c>
      <c r="S358" s="7"/>
      <c r="T358" s="7">
        <v>0</v>
      </c>
      <c r="U358" s="7">
        <v>0</v>
      </c>
      <c r="V358" s="7">
        <v>0</v>
      </c>
      <c r="W358" s="7"/>
      <c r="X358" s="7"/>
      <c r="Y358" s="7">
        <v>3.19689131523112E-2</v>
      </c>
      <c r="Z358" s="14">
        <f>IFERROR(IF(INDEX('All GHED Countries'!$D$5:$AB$199,MATCH($B358,'All GHED Countries'!$B$5:$B$199,0),MATCH($D358,'All GHED Countries'!$D$4:$AB$4,0))="","",INDEX('All GHED Countries'!$D$5:$AB$199,MATCH($B358,'All GHED Countries'!$B$5:$B$199,0),MATCH($D358,'All GHED Countries'!$D$4:$AB$4,0))),"")</f>
        <v>2.7029309299999998E-2</v>
      </c>
    </row>
    <row r="359" spans="1:26" x14ac:dyDescent="0.2">
      <c r="A359" s="6" t="s">
        <v>134</v>
      </c>
      <c r="B359" s="6" t="s">
        <v>135</v>
      </c>
      <c r="C359" s="6" t="s">
        <v>49</v>
      </c>
      <c r="D359" s="6" t="s">
        <v>17</v>
      </c>
      <c r="E359" s="6" t="s">
        <v>452</v>
      </c>
      <c r="F359" s="7">
        <v>0.10090828063325</v>
      </c>
      <c r="G359" s="7">
        <v>0.111879801366665</v>
      </c>
      <c r="H359" s="7">
        <v>6.6062561011841603E-2</v>
      </c>
      <c r="I359" s="7">
        <v>7.3362760494036797E-2</v>
      </c>
      <c r="J359" s="7">
        <v>0.143223971817835</v>
      </c>
      <c r="K359" s="7"/>
      <c r="L359" s="7">
        <v>4.6687322269852701E-3</v>
      </c>
      <c r="M359" s="12">
        <f t="shared" si="10"/>
        <v>5.7573956962777499E-2</v>
      </c>
      <c r="N359" s="7"/>
      <c r="O359" s="7">
        <v>7.8774245575315108E-2</v>
      </c>
      <c r="P359" s="7">
        <v>1.48762785959849E-2</v>
      </c>
      <c r="Q359" s="7">
        <v>0.34866941131530882</v>
      </c>
      <c r="R359" s="13">
        <f t="shared" si="11"/>
        <v>1</v>
      </c>
      <c r="S359" s="7"/>
      <c r="T359" s="7">
        <v>0</v>
      </c>
      <c r="U359" s="7">
        <v>0</v>
      </c>
      <c r="V359" s="7">
        <v>0</v>
      </c>
      <c r="W359" s="7"/>
      <c r="X359" s="7"/>
      <c r="Y359" s="7">
        <v>5.7573956962777499E-2</v>
      </c>
      <c r="Z359" s="14">
        <f>IFERROR(IF(INDEX('All GHED Countries'!$D$5:$AB$199,MATCH($B359,'All GHED Countries'!$B$5:$B$199,0),MATCH($D359,'All GHED Countries'!$D$4:$AB$4,0))="","",INDEX('All GHED Countries'!$D$5:$AB$199,MATCH($B359,'All GHED Countries'!$B$5:$B$199,0),MATCH($D359,'All GHED Countries'!$D$4:$AB$4,0))),"")</f>
        <v>2.7714133299999999E-2</v>
      </c>
    </row>
    <row r="360" spans="1:26" x14ac:dyDescent="0.2">
      <c r="A360" s="6" t="s">
        <v>134</v>
      </c>
      <c r="B360" s="6" t="s">
        <v>135</v>
      </c>
      <c r="C360" s="6" t="s">
        <v>49</v>
      </c>
      <c r="D360" s="6" t="s">
        <v>18</v>
      </c>
      <c r="E360" s="6" t="s">
        <v>452</v>
      </c>
      <c r="F360" s="7">
        <v>1.4266481368886979E-2</v>
      </c>
      <c r="G360" s="7">
        <v>0.14750716581255999</v>
      </c>
      <c r="H360" s="7">
        <v>7.2591852688265401E-2</v>
      </c>
      <c r="I360" s="7">
        <v>9.1331538261096093E-2</v>
      </c>
      <c r="J360" s="7">
        <v>0.11378441761487</v>
      </c>
      <c r="K360" s="7"/>
      <c r="L360" s="7">
        <v>5.8846521323721E-3</v>
      </c>
      <c r="M360" s="12">
        <f t="shared" si="10"/>
        <v>5.2744723356206002E-2</v>
      </c>
      <c r="N360" s="7"/>
      <c r="O360" s="7">
        <v>8.5989750716581298E-2</v>
      </c>
      <c r="P360" s="7">
        <v>2.14105793450882E-2</v>
      </c>
      <c r="Q360" s="7">
        <v>0.39448883870407392</v>
      </c>
      <c r="R360" s="13">
        <f t="shared" si="11"/>
        <v>1</v>
      </c>
      <c r="S360" s="7"/>
      <c r="T360" s="7">
        <v>0</v>
      </c>
      <c r="U360" s="7">
        <v>0</v>
      </c>
      <c r="V360" s="7">
        <v>0</v>
      </c>
      <c r="W360" s="7"/>
      <c r="X360" s="7"/>
      <c r="Y360" s="7">
        <v>5.2744723356206002E-2</v>
      </c>
      <c r="Z360" s="14">
        <f>IFERROR(IF(INDEX('All GHED Countries'!$D$5:$AB$199,MATCH($B360,'All GHED Countries'!$B$5:$B$199,0),MATCH($D360,'All GHED Countries'!$D$4:$AB$4,0))="","",INDEX('All GHED Countries'!$D$5:$AB$199,MATCH($B360,'All GHED Countries'!$B$5:$B$199,0),MATCH($D360,'All GHED Countries'!$D$4:$AB$4,0))),"")</f>
        <v>3.6679837700000002E-2</v>
      </c>
    </row>
    <row r="361" spans="1:26" x14ac:dyDescent="0.2">
      <c r="A361" s="6" t="s">
        <v>134</v>
      </c>
      <c r="B361" s="6" t="s">
        <v>135</v>
      </c>
      <c r="C361" s="6" t="s">
        <v>49</v>
      </c>
      <c r="D361" s="6" t="s">
        <v>19</v>
      </c>
      <c r="E361" s="6" t="s">
        <v>452</v>
      </c>
      <c r="F361" s="7">
        <v>0.15131528195633701</v>
      </c>
      <c r="G361" s="7"/>
      <c r="H361" s="7">
        <v>5.9014117102522599E-2</v>
      </c>
      <c r="I361" s="7">
        <v>5.8782689192316599E-2</v>
      </c>
      <c r="J361" s="7">
        <v>0.15150813854817599</v>
      </c>
      <c r="K361" s="7"/>
      <c r="L361" s="7">
        <v>2.1985651469567202E-3</v>
      </c>
      <c r="M361" s="12">
        <f t="shared" si="10"/>
        <v>4.0962740106456799E-2</v>
      </c>
      <c r="N361" s="7"/>
      <c r="O361" s="7">
        <v>8.2118336804752001E-2</v>
      </c>
      <c r="P361" s="7">
        <v>6.9544087016894199E-2</v>
      </c>
      <c r="Q361" s="7">
        <v>0.38455604412558808</v>
      </c>
      <c r="R361" s="13">
        <f t="shared" si="11"/>
        <v>0.99999999999999989</v>
      </c>
      <c r="S361" s="7"/>
      <c r="T361" s="7">
        <v>0</v>
      </c>
      <c r="U361" s="7">
        <v>0</v>
      </c>
      <c r="V361" s="7">
        <v>0</v>
      </c>
      <c r="W361" s="7"/>
      <c r="X361" s="7"/>
      <c r="Y361" s="7">
        <v>4.0962740106456799E-2</v>
      </c>
      <c r="Z361" s="14">
        <f>IFERROR(IF(INDEX('All GHED Countries'!$D$5:$AB$199,MATCH($B361,'All GHED Countries'!$B$5:$B$199,0),MATCH($D361,'All GHED Countries'!$D$4:$AB$4,0))="","",INDEX('All GHED Countries'!$D$5:$AB$199,MATCH($B361,'All GHED Countries'!$B$5:$B$199,0),MATCH($D361,'All GHED Countries'!$D$4:$AB$4,0))),"")</f>
        <v>3.4590382599999997E-2</v>
      </c>
    </row>
    <row r="362" spans="1:26" x14ac:dyDescent="0.2">
      <c r="A362" s="6" t="s">
        <v>136</v>
      </c>
      <c r="B362" s="6" t="s">
        <v>137</v>
      </c>
      <c r="C362" s="6"/>
      <c r="D362" s="6" t="s">
        <v>11</v>
      </c>
      <c r="E362" s="6" t="s">
        <v>452</v>
      </c>
      <c r="F362" s="7">
        <v>0.41802194069517412</v>
      </c>
      <c r="G362" s="7">
        <v>0.25635768782847601</v>
      </c>
      <c r="H362" s="7">
        <v>0.19756797210941199</v>
      </c>
      <c r="I362" s="7">
        <v>1.7184327221691401E-2</v>
      </c>
      <c r="J362" s="7">
        <v>8.161878881987579E-2</v>
      </c>
      <c r="K362" s="7">
        <v>7.651994744386001E-5</v>
      </c>
      <c r="L362" s="7">
        <v>2.1434916985188699E-3</v>
      </c>
      <c r="M362" s="12">
        <f t="shared" si="10"/>
        <v>7.5736084567606301E-3</v>
      </c>
      <c r="N362" s="7">
        <v>2.5624850692785501E-3</v>
      </c>
      <c r="O362" s="7">
        <v>1.4913924390826601E-2</v>
      </c>
      <c r="P362" s="7">
        <v>1.9792537625418099E-3</v>
      </c>
      <c r="Q362" s="7"/>
      <c r="R362" s="13">
        <f t="shared" si="11"/>
        <v>0.99999999999999967</v>
      </c>
      <c r="S362" s="7"/>
      <c r="T362" s="7"/>
      <c r="U362" s="7"/>
      <c r="V362" s="7"/>
      <c r="W362" s="7"/>
      <c r="X362" s="7"/>
      <c r="Y362" s="7">
        <v>7.5736084567606301E-3</v>
      </c>
      <c r="Z362" s="14">
        <f>IFERROR(IF(INDEX('All GHED Countries'!$D$5:$AB$199,MATCH($B362,'All GHED Countries'!$B$5:$B$199,0),MATCH($D362,'All GHED Countries'!$D$4:$AB$4,0))="","",INDEX('All GHED Countries'!$D$5:$AB$199,MATCH($B362,'All GHED Countries'!$B$5:$B$199,0),MATCH($D362,'All GHED Countries'!$D$4:$AB$4,0))),"")</f>
        <v>3.9787476099999997E-2</v>
      </c>
    </row>
    <row r="363" spans="1:26" x14ac:dyDescent="0.2">
      <c r="A363" s="6" t="s">
        <v>136</v>
      </c>
      <c r="B363" s="6" t="s">
        <v>137</v>
      </c>
      <c r="C363" s="6"/>
      <c r="D363" s="6" t="s">
        <v>12</v>
      </c>
      <c r="E363" s="6" t="s">
        <v>452</v>
      </c>
      <c r="F363" s="7">
        <v>0.43579971929187811</v>
      </c>
      <c r="G363" s="7">
        <v>0.260406832340629</v>
      </c>
      <c r="H363" s="7">
        <v>0.17607701397995601</v>
      </c>
      <c r="I363" s="7">
        <v>1.6744549127882102E-2</v>
      </c>
      <c r="J363" s="7">
        <v>7.8415360164075298E-2</v>
      </c>
      <c r="K363" s="7">
        <v>1.11620725736355E-4</v>
      </c>
      <c r="L363" s="7">
        <v>3.0043978565940099E-3</v>
      </c>
      <c r="M363" s="12">
        <f t="shared" si="10"/>
        <v>8.7589863685889197E-3</v>
      </c>
      <c r="N363" s="7">
        <v>2.5564746862197399E-3</v>
      </c>
      <c r="O363" s="7">
        <v>1.5898392013429099E-2</v>
      </c>
      <c r="P363" s="7">
        <v>2.2266534450116702E-3</v>
      </c>
      <c r="Q363" s="7"/>
      <c r="R363" s="13">
        <f t="shared" si="11"/>
        <v>1.0000000000000004</v>
      </c>
      <c r="S363" s="7">
        <v>0</v>
      </c>
      <c r="T363" s="7">
        <v>3.76629932645894E-3</v>
      </c>
      <c r="U363" s="7">
        <v>4.4907538431735996E-3</v>
      </c>
      <c r="V363" s="7">
        <v>0</v>
      </c>
      <c r="W363" s="7">
        <v>0</v>
      </c>
      <c r="X363" s="7">
        <v>0</v>
      </c>
      <c r="Y363" s="7">
        <v>5.0193319895638E-4</v>
      </c>
      <c r="Z363" s="14">
        <f>IFERROR(IF(INDEX('All GHED Countries'!$D$5:$AB$199,MATCH($B363,'All GHED Countries'!$B$5:$B$199,0),MATCH($D363,'All GHED Countries'!$D$4:$AB$4,0))="","",INDEX('All GHED Countries'!$D$5:$AB$199,MATCH($B363,'All GHED Countries'!$B$5:$B$199,0),MATCH($D363,'All GHED Countries'!$D$4:$AB$4,0))),"")</f>
        <v>3.2093622699999998E-2</v>
      </c>
    </row>
    <row r="364" spans="1:26" x14ac:dyDescent="0.2">
      <c r="A364" s="6" t="s">
        <v>136</v>
      </c>
      <c r="B364" s="6" t="s">
        <v>137</v>
      </c>
      <c r="C364" s="6"/>
      <c r="D364" s="6" t="s">
        <v>13</v>
      </c>
      <c r="E364" s="6" t="s">
        <v>452</v>
      </c>
      <c r="F364" s="7">
        <v>0.46279355289932589</v>
      </c>
      <c r="G364" s="7">
        <v>0.22743201284112299</v>
      </c>
      <c r="H364" s="7">
        <v>0.15619165996590101</v>
      </c>
      <c r="I364" s="7">
        <v>1.6080012320076099E-2</v>
      </c>
      <c r="J364" s="7">
        <v>0.105272736901245</v>
      </c>
      <c r="K364" s="7">
        <v>2.775669310654E-4</v>
      </c>
      <c r="L364" s="7">
        <v>2.7634953224493801E-3</v>
      </c>
      <c r="M364" s="12">
        <f t="shared" si="10"/>
        <v>9.0233600572664462E-3</v>
      </c>
      <c r="N364" s="7">
        <v>2.1134043523225198E-3</v>
      </c>
      <c r="O364" s="7">
        <v>1.63861881234223E-2</v>
      </c>
      <c r="P364" s="7">
        <v>2.0939259711951299E-3</v>
      </c>
      <c r="Q364" s="7"/>
      <c r="R364" s="13">
        <f t="shared" si="11"/>
        <v>1.0004279156853921</v>
      </c>
      <c r="S364" s="7">
        <v>0</v>
      </c>
      <c r="T364" s="7">
        <v>3.6521964613859998E-6</v>
      </c>
      <c r="U364" s="7">
        <v>4.3649834707675198E-3</v>
      </c>
      <c r="V364" s="7">
        <v>4.6547243900375403E-3</v>
      </c>
      <c r="W364" s="7">
        <v>0</v>
      </c>
      <c r="X364" s="7">
        <v>0</v>
      </c>
      <c r="Y364" s="7"/>
      <c r="Z364" s="14">
        <f>IFERROR(IF(INDEX('All GHED Countries'!$D$5:$AB$199,MATCH($B364,'All GHED Countries'!$B$5:$B$199,0),MATCH($D364,'All GHED Countries'!$D$4:$AB$4,0))="","",INDEX('All GHED Countries'!$D$5:$AB$199,MATCH($B364,'All GHED Countries'!$B$5:$B$199,0),MATCH($D364,'All GHED Countries'!$D$4:$AB$4,0))),"")</f>
        <v>2.8208477499999999E-2</v>
      </c>
    </row>
    <row r="365" spans="1:26" x14ac:dyDescent="0.2">
      <c r="A365" s="6" t="s">
        <v>136</v>
      </c>
      <c r="B365" s="6" t="s">
        <v>137</v>
      </c>
      <c r="C365" s="6"/>
      <c r="D365" s="6" t="s">
        <v>14</v>
      </c>
      <c r="E365" s="6" t="s">
        <v>452</v>
      </c>
      <c r="F365" s="7">
        <v>0.41302495586631288</v>
      </c>
      <c r="G365" s="7">
        <v>0.22564790464635201</v>
      </c>
      <c r="H365" s="7">
        <v>0.13137576833627401</v>
      </c>
      <c r="I365" s="7">
        <v>1.3639394482586401E-2</v>
      </c>
      <c r="J365" s="7">
        <v>0.18342610124551201</v>
      </c>
      <c r="K365" s="7">
        <v>8.2023454099813006E-5</v>
      </c>
      <c r="L365" s="7">
        <v>3.0090626700661899E-3</v>
      </c>
      <c r="M365" s="12">
        <f t="shared" si="10"/>
        <v>8.6207571870747651E-3</v>
      </c>
      <c r="N365" s="7">
        <v>1.9934464181786101E-3</v>
      </c>
      <c r="O365" s="7">
        <v>1.84658757086619E-2</v>
      </c>
      <c r="P365" s="7">
        <v>2.5030977678100301E-3</v>
      </c>
      <c r="Q365" s="7"/>
      <c r="R365" s="13">
        <f t="shared" si="11"/>
        <v>1.0017883877829286</v>
      </c>
      <c r="S365" s="7">
        <v>0</v>
      </c>
      <c r="T365" s="7">
        <v>1.1520148047726E-5</v>
      </c>
      <c r="U365" s="7">
        <v>3.8062569149688698E-3</v>
      </c>
      <c r="V365" s="7">
        <v>4.8029801240581701E-3</v>
      </c>
      <c r="W365" s="7">
        <v>0</v>
      </c>
      <c r="X365" s="7">
        <v>0</v>
      </c>
      <c r="Y365" s="7"/>
      <c r="Z365" s="14">
        <f>IFERROR(IF(INDEX('All GHED Countries'!$D$5:$AB$199,MATCH($B365,'All GHED Countries'!$B$5:$B$199,0),MATCH($D365,'All GHED Countries'!$D$4:$AB$4,0))="","",INDEX('All GHED Countries'!$D$5:$AB$199,MATCH($B365,'All GHED Countries'!$B$5:$B$199,0),MATCH($D365,'All GHED Countries'!$D$4:$AB$4,0))),"")</f>
        <v>2.2233431299999998E-2</v>
      </c>
    </row>
    <row r="366" spans="1:26" x14ac:dyDescent="0.2">
      <c r="A366" s="6" t="s">
        <v>136</v>
      </c>
      <c r="B366" s="6" t="s">
        <v>137</v>
      </c>
      <c r="C366" s="6"/>
      <c r="D366" s="6" t="s">
        <v>15</v>
      </c>
      <c r="E366" s="6" t="s">
        <v>452</v>
      </c>
      <c r="F366" s="7">
        <v>0.41769957941766089</v>
      </c>
      <c r="G366" s="7">
        <v>0.31201928924864297</v>
      </c>
      <c r="H366" s="7">
        <v>0.129235558075941</v>
      </c>
      <c r="I366" s="7">
        <v>1.2230556006448E-2</v>
      </c>
      <c r="J366" s="7">
        <v>9.51223491501796E-2</v>
      </c>
      <c r="K366" s="7">
        <v>8.7180230180716002E-5</v>
      </c>
      <c r="L366" s="7">
        <v>2.2621194012129699E-3</v>
      </c>
      <c r="M366" s="12">
        <f t="shared" si="10"/>
        <v>7.6369881638307501E-3</v>
      </c>
      <c r="N366" s="7">
        <v>2.0570382883116599E-3</v>
      </c>
      <c r="O366" s="7">
        <v>1.88404780299593E-2</v>
      </c>
      <c r="P366" s="7">
        <v>2.6573364446988799E-3</v>
      </c>
      <c r="Q366" s="7"/>
      <c r="R366" s="13">
        <f t="shared" si="11"/>
        <v>0.99984847245706665</v>
      </c>
      <c r="S366" s="7">
        <v>0</v>
      </c>
      <c r="T366" s="7">
        <v>0</v>
      </c>
      <c r="U366" s="7">
        <v>2.58966798032052E-3</v>
      </c>
      <c r="V366" s="7">
        <v>5.0473201835102297E-3</v>
      </c>
      <c r="W366" s="7">
        <v>0</v>
      </c>
      <c r="X366" s="7">
        <v>0</v>
      </c>
      <c r="Y366" s="7"/>
      <c r="Z366" s="14">
        <f>IFERROR(IF(INDEX('All GHED Countries'!$D$5:$AB$199,MATCH($B366,'All GHED Countries'!$B$5:$B$199,0),MATCH($D366,'All GHED Countries'!$D$4:$AB$4,0))="","",INDEX('All GHED Countries'!$D$5:$AB$199,MATCH($B366,'All GHED Countries'!$B$5:$B$199,0),MATCH($D366,'All GHED Countries'!$D$4:$AB$4,0))),"")</f>
        <v>2.9631404900000002E-2</v>
      </c>
    </row>
    <row r="367" spans="1:26" x14ac:dyDescent="0.2">
      <c r="A367" s="6" t="s">
        <v>136</v>
      </c>
      <c r="B367" s="6" t="s">
        <v>137</v>
      </c>
      <c r="C367" s="6"/>
      <c r="D367" s="6" t="s">
        <v>16</v>
      </c>
      <c r="E367" s="6" t="s">
        <v>452</v>
      </c>
      <c r="F367" s="7">
        <v>0.48602584183820202</v>
      </c>
      <c r="G367" s="7">
        <v>0.27883383125720501</v>
      </c>
      <c r="H367" s="7">
        <v>0.12943339366838</v>
      </c>
      <c r="I367" s="7">
        <v>1.3541840666186499E-2</v>
      </c>
      <c r="J367" s="7">
        <v>5.9210039897804698E-2</v>
      </c>
      <c r="K367" s="7">
        <v>1.42052067045837E-4</v>
      </c>
      <c r="L367" s="7">
        <v>1.5968021512501999E-3</v>
      </c>
      <c r="M367" s="12">
        <f t="shared" si="10"/>
        <v>8.5255200817124562E-3</v>
      </c>
      <c r="N367" s="7">
        <v>1.66526097874216E-3</v>
      </c>
      <c r="O367" s="7">
        <v>1.90507225144654E-2</v>
      </c>
      <c r="P367" s="7">
        <v>1.78301016202835E-3</v>
      </c>
      <c r="Q367" s="7"/>
      <c r="R367" s="13">
        <f t="shared" si="11"/>
        <v>0.99980831528302272</v>
      </c>
      <c r="S367" s="7">
        <v>0</v>
      </c>
      <c r="T367" s="7">
        <v>6.845882749196E-6</v>
      </c>
      <c r="U367" s="7">
        <v>3.5649934416443299E-3</v>
      </c>
      <c r="V367" s="7">
        <v>4.95368075731893E-3</v>
      </c>
      <c r="W367" s="7">
        <v>0</v>
      </c>
      <c r="X367" s="7">
        <v>0</v>
      </c>
      <c r="Y367" s="7"/>
      <c r="Z367" s="14">
        <f>IFERROR(IF(INDEX('All GHED Countries'!$D$5:$AB$199,MATCH($B367,'All GHED Countries'!$B$5:$B$199,0),MATCH($D367,'All GHED Countries'!$D$4:$AB$4,0))="","",INDEX('All GHED Countries'!$D$5:$AB$199,MATCH($B367,'All GHED Countries'!$B$5:$B$199,0),MATCH($D367,'All GHED Countries'!$D$4:$AB$4,0))),"")</f>
        <v>2.8897414199999999E-2</v>
      </c>
    </row>
    <row r="368" spans="1:26" x14ac:dyDescent="0.2">
      <c r="A368" s="6" t="s">
        <v>136</v>
      </c>
      <c r="B368" s="6" t="s">
        <v>137</v>
      </c>
      <c r="C368" s="6"/>
      <c r="D368" s="6" t="s">
        <v>17</v>
      </c>
      <c r="E368" s="6" t="s">
        <v>452</v>
      </c>
      <c r="F368" s="7">
        <v>0.54689845635047507</v>
      </c>
      <c r="G368" s="7">
        <v>0.24868862466932201</v>
      </c>
      <c r="H368" s="7">
        <v>0.129259571499171</v>
      </c>
      <c r="I368" s="7">
        <v>1.7466786825198401E-2</v>
      </c>
      <c r="J368" s="7">
        <v>3.1252361987267101E-2</v>
      </c>
      <c r="K368" s="7">
        <v>1.3023634407977001E-4</v>
      </c>
      <c r="L368" s="7">
        <v>1.0366580423849499E-3</v>
      </c>
      <c r="M368" s="12">
        <f t="shared" si="10"/>
        <v>6.7167650222390192E-3</v>
      </c>
      <c r="N368" s="7">
        <v>1.28521177941219E-3</v>
      </c>
      <c r="O368" s="7">
        <v>1.6041745399575601E-2</v>
      </c>
      <c r="P368" s="7">
        <v>1.07764760603506E-3</v>
      </c>
      <c r="Q368" s="7"/>
      <c r="R368" s="13">
        <f t="shared" si="11"/>
        <v>0.99985406552516021</v>
      </c>
      <c r="S368" s="7">
        <v>0</v>
      </c>
      <c r="T368" s="7">
        <v>0</v>
      </c>
      <c r="U368" s="7">
        <v>2.11808482804733E-3</v>
      </c>
      <c r="V368" s="7">
        <v>4.5986801941916896E-3</v>
      </c>
      <c r="W368" s="7">
        <v>0</v>
      </c>
      <c r="X368" s="7">
        <v>0</v>
      </c>
      <c r="Y368" s="7"/>
      <c r="Z368" s="14">
        <f>IFERROR(IF(INDEX('All GHED Countries'!$D$5:$AB$199,MATCH($B368,'All GHED Countries'!$B$5:$B$199,0),MATCH($D368,'All GHED Countries'!$D$4:$AB$4,0))="","",INDEX('All GHED Countries'!$D$5:$AB$199,MATCH($B368,'All GHED Countries'!$B$5:$B$199,0),MATCH($D368,'All GHED Countries'!$D$4:$AB$4,0))),"")</f>
        <v>2.5431916700000001E-2</v>
      </c>
    </row>
    <row r="369" spans="1:26" x14ac:dyDescent="0.2">
      <c r="A369" s="6" t="s">
        <v>136</v>
      </c>
      <c r="B369" s="6" t="s">
        <v>137</v>
      </c>
      <c r="C369" s="6"/>
      <c r="D369" s="6" t="s">
        <v>18</v>
      </c>
      <c r="E369" s="6" t="s">
        <v>452</v>
      </c>
      <c r="F369" s="7">
        <v>0.55738354404382695</v>
      </c>
      <c r="G369" s="7">
        <v>0.23420889234898801</v>
      </c>
      <c r="H369" s="7">
        <v>0.121836118660177</v>
      </c>
      <c r="I369" s="7">
        <v>1.56776726480745E-2</v>
      </c>
      <c r="J369" s="7">
        <v>4.3502920652812499E-2</v>
      </c>
      <c r="K369" s="7">
        <v>1.4304750896733601E-4</v>
      </c>
      <c r="L369" s="7">
        <v>1.1971571994211199E-3</v>
      </c>
      <c r="M369" s="12">
        <f t="shared" si="10"/>
        <v>1.7170477286730232E-3</v>
      </c>
      <c r="N369" s="7">
        <v>1.304144317981E-3</v>
      </c>
      <c r="O369" s="7">
        <v>1.4643384231818201E-2</v>
      </c>
      <c r="P369" s="7">
        <v>8.32803969986292E-3</v>
      </c>
      <c r="Q369" s="7"/>
      <c r="R369" s="13">
        <f t="shared" si="11"/>
        <v>0.99994196904060251</v>
      </c>
      <c r="S369" s="7">
        <v>0</v>
      </c>
      <c r="T369" s="7">
        <v>0</v>
      </c>
      <c r="U369" s="7">
        <v>1.45865473250832E-3</v>
      </c>
      <c r="V369" s="7">
        <v>2.58392996164703E-4</v>
      </c>
      <c r="W369" s="7">
        <v>0</v>
      </c>
      <c r="X369" s="7">
        <v>0</v>
      </c>
      <c r="Y369" s="7"/>
      <c r="Z369" s="14">
        <f>IFERROR(IF(INDEX('All GHED Countries'!$D$5:$AB$199,MATCH($B369,'All GHED Countries'!$B$5:$B$199,0),MATCH($D369,'All GHED Countries'!$D$4:$AB$4,0))="","",INDEX('All GHED Countries'!$D$5:$AB$199,MATCH($B369,'All GHED Countries'!$B$5:$B$199,0),MATCH($D369,'All GHED Countries'!$D$4:$AB$4,0))),"")</f>
        <v>3.1706104300000003E-2</v>
      </c>
    </row>
    <row r="370" spans="1:26" x14ac:dyDescent="0.2">
      <c r="A370" s="6" t="s">
        <v>136</v>
      </c>
      <c r="B370" s="6" t="s">
        <v>137</v>
      </c>
      <c r="C370" s="6"/>
      <c r="D370" s="6" t="s">
        <v>19</v>
      </c>
      <c r="E370" s="6" t="s">
        <v>452</v>
      </c>
      <c r="F370" s="7">
        <v>0.553356665183522</v>
      </c>
      <c r="G370" s="7">
        <v>0.25274104966762101</v>
      </c>
      <c r="H370" s="7">
        <v>0.120729264205533</v>
      </c>
      <c r="I370" s="7">
        <v>1.67546591756817E-2</v>
      </c>
      <c r="J370" s="7">
        <v>3.4634737007546303E-2</v>
      </c>
      <c r="K370" s="7">
        <v>1.92587378221688E-4</v>
      </c>
      <c r="L370" s="7">
        <v>9.8684428978423606E-4</v>
      </c>
      <c r="M370" s="12">
        <f t="shared" si="10"/>
        <v>1.9415906831981879E-3</v>
      </c>
      <c r="N370" s="7">
        <v>1.4196124787766501E-3</v>
      </c>
      <c r="O370" s="7">
        <v>1.4444053366626601E-2</v>
      </c>
      <c r="P370" s="7">
        <v>2.7126042904926E-3</v>
      </c>
      <c r="Q370" s="7"/>
      <c r="R370" s="13">
        <f t="shared" si="11"/>
        <v>0.99991366772700396</v>
      </c>
      <c r="S370" s="7">
        <v>0</v>
      </c>
      <c r="T370" s="7">
        <v>0</v>
      </c>
      <c r="U370" s="7">
        <v>1.6221612731132499E-3</v>
      </c>
      <c r="V370" s="7">
        <v>3.1942941008493799E-4</v>
      </c>
      <c r="W370" s="7">
        <v>0</v>
      </c>
      <c r="X370" s="7">
        <v>0</v>
      </c>
      <c r="Y370" s="7"/>
      <c r="Z370" s="14">
        <f>IFERROR(IF(INDEX('All GHED Countries'!$D$5:$AB$199,MATCH($B370,'All GHED Countries'!$B$5:$B$199,0),MATCH($D370,'All GHED Countries'!$D$4:$AB$4,0))="","",INDEX('All GHED Countries'!$D$5:$AB$199,MATCH($B370,'All GHED Countries'!$B$5:$B$199,0),MATCH($D370,'All GHED Countries'!$D$4:$AB$4,0))),"")</f>
        <v>3.2493059599999999E-2</v>
      </c>
    </row>
    <row r="371" spans="1:26" x14ac:dyDescent="0.2">
      <c r="A371" s="6" t="s">
        <v>136</v>
      </c>
      <c r="B371" s="6" t="s">
        <v>137</v>
      </c>
      <c r="C371" s="6"/>
      <c r="D371" s="6" t="s">
        <v>20</v>
      </c>
      <c r="E371" s="6" t="s">
        <v>452</v>
      </c>
      <c r="F371" s="7">
        <v>0.52952243016453504</v>
      </c>
      <c r="G371" s="7">
        <v>0.274321876548065</v>
      </c>
      <c r="H371" s="7">
        <v>0.119071406692558</v>
      </c>
      <c r="I371" s="7">
        <v>1.5109872448883101E-2</v>
      </c>
      <c r="J371" s="7">
        <v>3.0679390265577099E-2</v>
      </c>
      <c r="K371" s="7">
        <v>1.7432868330793399E-4</v>
      </c>
      <c r="L371" s="7">
        <v>5.1107422015330304E-3</v>
      </c>
      <c r="M371" s="12">
        <f t="shared" si="10"/>
        <v>7.0839462568492995E-3</v>
      </c>
      <c r="N371" s="7">
        <v>1.3224021811883799E-3</v>
      </c>
      <c r="O371" s="7">
        <v>1.6571435054057001E-2</v>
      </c>
      <c r="P371" s="7">
        <v>1.0319804267838401E-3</v>
      </c>
      <c r="Q371" s="7"/>
      <c r="R371" s="13">
        <f t="shared" si="11"/>
        <v>0.99999981092333767</v>
      </c>
      <c r="S371" s="7"/>
      <c r="T371" s="7"/>
      <c r="U371" s="7">
        <v>1.6714377011303001E-3</v>
      </c>
      <c r="V371" s="7">
        <v>8.7334510650688391E-4</v>
      </c>
      <c r="W371" s="7"/>
      <c r="X371" s="7"/>
      <c r="Y371" s="7">
        <v>4.539163449212116E-3</v>
      </c>
      <c r="Z371" s="14">
        <f>IFERROR(IF(INDEX('All GHED Countries'!$D$5:$AB$199,MATCH($B371,'All GHED Countries'!$B$5:$B$199,0),MATCH($D371,'All GHED Countries'!$D$4:$AB$4,0))="","",INDEX('All GHED Countries'!$D$5:$AB$199,MATCH($B371,'All GHED Countries'!$B$5:$B$199,0),MATCH($D371,'All GHED Countries'!$D$4:$AB$4,0))),"")</f>
        <v>3.3424859000000001E-2</v>
      </c>
    </row>
    <row r="372" spans="1:26" x14ac:dyDescent="0.2">
      <c r="A372" s="6" t="s">
        <v>136</v>
      </c>
      <c r="B372" s="6" t="s">
        <v>137</v>
      </c>
      <c r="C372" s="6"/>
      <c r="D372" s="6" t="s">
        <v>21</v>
      </c>
      <c r="E372" s="6" t="s">
        <v>452</v>
      </c>
      <c r="F372" s="7">
        <v>0.5256301932111469</v>
      </c>
      <c r="G372" s="7">
        <v>0.28731519440395697</v>
      </c>
      <c r="H372" s="7">
        <v>0.121299102108616</v>
      </c>
      <c r="I372" s="7">
        <v>1.5680138819998801E-2</v>
      </c>
      <c r="J372" s="7">
        <v>2.57905340519421E-2</v>
      </c>
      <c r="K372" s="7">
        <v>1.6649113776855801E-4</v>
      </c>
      <c r="L372" s="7">
        <v>8.360938926858071E-4</v>
      </c>
      <c r="M372" s="12">
        <f t="shared" si="10"/>
        <v>6.6107896305646506E-3</v>
      </c>
      <c r="N372" s="7">
        <v>1.30750116205963E-3</v>
      </c>
      <c r="O372" s="7">
        <v>1.4897751745948E-2</v>
      </c>
      <c r="P372" s="7">
        <v>4.6620983531237199E-4</v>
      </c>
      <c r="Q372" s="7"/>
      <c r="R372" s="13">
        <f t="shared" si="11"/>
        <v>0.99999999999999967</v>
      </c>
      <c r="S372" s="7"/>
      <c r="T372" s="7"/>
      <c r="U372" s="7">
        <v>1.6134567804771899E-3</v>
      </c>
      <c r="V372" s="7">
        <v>8.3262893664483805E-4</v>
      </c>
      <c r="W372" s="7"/>
      <c r="X372" s="7"/>
      <c r="Y372" s="7">
        <v>4.1647039134426224E-3</v>
      </c>
      <c r="Z372" s="14">
        <f>IFERROR(IF(INDEX('All GHED Countries'!$D$5:$AB$199,MATCH($B372,'All GHED Countries'!$B$5:$B$199,0),MATCH($D372,'All GHED Countries'!$D$4:$AB$4,0))="","",INDEX('All GHED Countries'!$D$5:$AB$199,MATCH($B372,'All GHED Countries'!$B$5:$B$199,0),MATCH($D372,'All GHED Countries'!$D$4:$AB$4,0))),"")</f>
        <v>3.8504207099999993E-2</v>
      </c>
    </row>
    <row r="373" spans="1:26" x14ac:dyDescent="0.2">
      <c r="A373" s="6" t="s">
        <v>138</v>
      </c>
      <c r="B373" s="6" t="s">
        <v>139</v>
      </c>
      <c r="C373" s="6"/>
      <c r="D373" s="6" t="s">
        <v>20</v>
      </c>
      <c r="E373" s="6" t="s">
        <v>452</v>
      </c>
      <c r="F373" s="7">
        <v>0.16328830665908789</v>
      </c>
      <c r="G373" s="7">
        <v>0.1064659245582287</v>
      </c>
      <c r="H373" s="7">
        <v>0</v>
      </c>
      <c r="I373" s="7">
        <v>0.1052874752497255</v>
      </c>
      <c r="J373" s="7">
        <v>0.19978873564090591</v>
      </c>
      <c r="K373" s="7">
        <v>1.799594969118962E-2</v>
      </c>
      <c r="L373" s="7">
        <v>2.6879769388558961E-2</v>
      </c>
      <c r="M373" s="12">
        <f t="shared" si="10"/>
        <v>0.11133091921580282</v>
      </c>
      <c r="N373" s="7">
        <v>8.5424222842849021E-3</v>
      </c>
      <c r="O373" s="7">
        <v>0.17403778103467291</v>
      </c>
      <c r="P373" s="7">
        <v>8.6382716277542584E-2</v>
      </c>
      <c r="Q373" s="7"/>
      <c r="R373" s="13">
        <f t="shared" si="11"/>
        <v>0.99999999999999989</v>
      </c>
      <c r="S373" s="7">
        <v>2.2324025077822201E-4</v>
      </c>
      <c r="T373" s="7">
        <v>1.851809964807009E-2</v>
      </c>
      <c r="U373" s="7">
        <v>4.6072810703414548E-2</v>
      </c>
      <c r="V373" s="7">
        <v>1.25156316208965E-2</v>
      </c>
      <c r="W373" s="7">
        <v>7.77859889159864E-4</v>
      </c>
      <c r="X373" s="7">
        <v>3.3223277103483599E-2</v>
      </c>
      <c r="Y373" s="7"/>
      <c r="Z373" s="14">
        <f>IFERROR(IF(INDEX('All GHED Countries'!$D$5:$AB$199,MATCH($B373,'All GHED Countries'!$B$5:$B$199,0),MATCH($D373,'All GHED Countries'!$D$4:$AB$4,0))="","",INDEX('All GHED Countries'!$D$5:$AB$199,MATCH($B373,'All GHED Countries'!$B$5:$B$199,0),MATCH($D373,'All GHED Countries'!$D$4:$AB$4,0))),"")</f>
        <v>0.18434894560000001</v>
      </c>
    </row>
    <row r="374" spans="1:26" x14ac:dyDescent="0.2">
      <c r="A374" s="6" t="s">
        <v>138</v>
      </c>
      <c r="B374" s="6" t="s">
        <v>139</v>
      </c>
      <c r="C374" s="6"/>
      <c r="D374" s="6" t="s">
        <v>21</v>
      </c>
      <c r="E374" s="6" t="s">
        <v>452</v>
      </c>
      <c r="F374" s="7">
        <v>0.1792190066486872</v>
      </c>
      <c r="G374" s="7">
        <v>0.10480179843394689</v>
      </c>
      <c r="H374" s="7">
        <v>0</v>
      </c>
      <c r="I374" s="7">
        <v>8.7830345410450317E-2</v>
      </c>
      <c r="J374" s="7">
        <v>0.16600283991319739</v>
      </c>
      <c r="K374" s="7">
        <v>2.7321149942723409E-2</v>
      </c>
      <c r="L374" s="7">
        <v>3.8005843423146141E-2</v>
      </c>
      <c r="M374" s="12">
        <f t="shared" si="10"/>
        <v>0.11751622288797839</v>
      </c>
      <c r="N374" s="7">
        <v>1.162357073186461E-2</v>
      </c>
      <c r="O374" s="7">
        <v>0.17650748175524489</v>
      </c>
      <c r="P374" s="7">
        <v>9.1171740852760669E-2</v>
      </c>
      <c r="Q374" s="7"/>
      <c r="R374" s="13">
        <f t="shared" si="11"/>
        <v>0.99999999999999989</v>
      </c>
      <c r="S374" s="7">
        <v>6.9985408986682001E-4</v>
      </c>
      <c r="T374" s="7">
        <v>1.013911338037521E-2</v>
      </c>
      <c r="U374" s="7">
        <v>6.2488312578428233E-2</v>
      </c>
      <c r="V374" s="7">
        <v>1.01366295581534E-2</v>
      </c>
      <c r="W374" s="7">
        <v>1.1289261306270629E-3</v>
      </c>
      <c r="X374" s="7">
        <v>3.2923387150527672E-2</v>
      </c>
      <c r="Y374" s="7"/>
      <c r="Z374" s="14">
        <f>IFERROR(IF(INDEX('All GHED Countries'!$D$5:$AB$199,MATCH($B374,'All GHED Countries'!$B$5:$B$199,0),MATCH($D374,'All GHED Countries'!$D$4:$AB$4,0))="","",INDEX('All GHED Countries'!$D$5:$AB$199,MATCH($B374,'All GHED Countries'!$B$5:$B$199,0),MATCH($D374,'All GHED Countries'!$D$4:$AB$4,0))),"")</f>
        <v>0.1971187019</v>
      </c>
    </row>
    <row r="375" spans="1:26" x14ac:dyDescent="0.2">
      <c r="A375" s="6" t="s">
        <v>138</v>
      </c>
      <c r="B375" s="6" t="s">
        <v>139</v>
      </c>
      <c r="C375" s="6"/>
      <c r="D375" s="6" t="s">
        <v>22</v>
      </c>
      <c r="E375" s="6" t="s">
        <v>452</v>
      </c>
      <c r="F375" s="7">
        <v>0.18969725590614139</v>
      </c>
      <c r="G375" s="7">
        <v>0.1064388799537901</v>
      </c>
      <c r="H375" s="7">
        <v>0</v>
      </c>
      <c r="I375" s="7">
        <v>0.1011976040603587</v>
      </c>
      <c r="J375" s="7">
        <v>0.1342699760152169</v>
      </c>
      <c r="K375" s="7">
        <v>2.0969069949923761E-2</v>
      </c>
      <c r="L375" s="7">
        <v>5.8634021334884837E-2</v>
      </c>
      <c r="M375" s="12">
        <f t="shared" si="10"/>
        <v>0.10124518695876167</v>
      </c>
      <c r="N375" s="7">
        <v>1.399999498829811E-2</v>
      </c>
      <c r="O375" s="7">
        <v>0.1875790179053427</v>
      </c>
      <c r="P375" s="7">
        <v>8.5968992927281884E-2</v>
      </c>
      <c r="Q375" s="7"/>
      <c r="R375" s="13">
        <f t="shared" si="11"/>
        <v>1</v>
      </c>
      <c r="S375" s="7">
        <v>7.2545690574888201E-4</v>
      </c>
      <c r="T375" s="7">
        <v>1.322837670129543E-2</v>
      </c>
      <c r="U375" s="7">
        <v>4.2113201342847691E-2</v>
      </c>
      <c r="V375" s="7">
        <v>1.028773824663516E-2</v>
      </c>
      <c r="W375" s="7">
        <v>1.522147005355417E-3</v>
      </c>
      <c r="X375" s="7">
        <v>3.3368266756879088E-2</v>
      </c>
      <c r="Y375" s="7"/>
      <c r="Z375" s="14">
        <f>IFERROR(IF(INDEX('All GHED Countries'!$D$5:$AB$199,MATCH($B375,'All GHED Countries'!$B$5:$B$199,0),MATCH($D375,'All GHED Countries'!$D$4:$AB$4,0))="","",INDEX('All GHED Countries'!$D$5:$AB$199,MATCH($B375,'All GHED Countries'!$B$5:$B$199,0),MATCH($D375,'All GHED Countries'!$D$4:$AB$4,0))),"")</f>
        <v>0.20341421130000001</v>
      </c>
    </row>
    <row r="376" spans="1:26" x14ac:dyDescent="0.2">
      <c r="A376" s="6" t="s">
        <v>138</v>
      </c>
      <c r="B376" s="6" t="s">
        <v>139</v>
      </c>
      <c r="C376" s="6"/>
      <c r="D376" s="6" t="s">
        <v>23</v>
      </c>
      <c r="E376" s="6" t="s">
        <v>452</v>
      </c>
      <c r="F376" s="7">
        <v>0.2067783122115488</v>
      </c>
      <c r="G376" s="7">
        <v>0.1027756783159935</v>
      </c>
      <c r="H376" s="7">
        <v>0</v>
      </c>
      <c r="I376" s="7">
        <v>0.1054153527428815</v>
      </c>
      <c r="J376" s="7">
        <v>0.1179114003091277</v>
      </c>
      <c r="K376" s="7">
        <v>1.8368550805371909E-2</v>
      </c>
      <c r="L376" s="7">
        <v>5.7400636068926723E-2</v>
      </c>
      <c r="M376" s="12">
        <f t="shared" si="10"/>
        <v>0.10313169309811134</v>
      </c>
      <c r="N376" s="7">
        <v>1.0277437322367119E-2</v>
      </c>
      <c r="O376" s="7">
        <v>0.19171503795860539</v>
      </c>
      <c r="P376" s="7">
        <v>8.6225901167065841E-2</v>
      </c>
      <c r="Q376" s="7"/>
      <c r="R376" s="13">
        <f t="shared" si="11"/>
        <v>0.99999999999999978</v>
      </c>
      <c r="S376" s="7">
        <v>3.8755001782915603E-4</v>
      </c>
      <c r="T376" s="7">
        <v>1.288993381400768E-2</v>
      </c>
      <c r="U376" s="7">
        <v>4.6985118007588388E-2</v>
      </c>
      <c r="V376" s="7">
        <v>6.3700666127345321E-3</v>
      </c>
      <c r="W376" s="7">
        <v>1.3670342258528139E-3</v>
      </c>
      <c r="X376" s="7">
        <v>3.5131990420098763E-2</v>
      </c>
      <c r="Y376" s="7"/>
      <c r="Z376" s="14">
        <f>IFERROR(IF(INDEX('All GHED Countries'!$D$5:$AB$199,MATCH($B376,'All GHED Countries'!$B$5:$B$199,0),MATCH($D376,'All GHED Countries'!$D$4:$AB$4,0))="","",INDEX('All GHED Countries'!$D$5:$AB$199,MATCH($B376,'All GHED Countries'!$B$5:$B$199,0),MATCH($D376,'All GHED Countries'!$D$4:$AB$4,0))),"")</f>
        <v>0.2079706573</v>
      </c>
    </row>
    <row r="377" spans="1:26" x14ac:dyDescent="0.2">
      <c r="A377" s="6" t="s">
        <v>138</v>
      </c>
      <c r="B377" s="6" t="s">
        <v>139</v>
      </c>
      <c r="C377" s="6"/>
      <c r="D377" s="6" t="s">
        <v>24</v>
      </c>
      <c r="E377" s="6" t="s">
        <v>452</v>
      </c>
      <c r="F377" s="7">
        <v>0.1369404311680486</v>
      </c>
      <c r="G377" s="7">
        <v>0.1074694908505365</v>
      </c>
      <c r="H377" s="7">
        <v>0</v>
      </c>
      <c r="I377" s="7">
        <v>0.10271529354607831</v>
      </c>
      <c r="J377" s="7">
        <v>0.15900929189196961</v>
      </c>
      <c r="K377" s="7">
        <v>1.8507670879779139E-2</v>
      </c>
      <c r="L377" s="7">
        <v>7.4417641058111716E-2</v>
      </c>
      <c r="M377" s="12">
        <f t="shared" si="10"/>
        <v>0.10102383717653565</v>
      </c>
      <c r="N377" s="7">
        <v>1.2843584253861199E-2</v>
      </c>
      <c r="O377" s="7">
        <v>0.19875116281947869</v>
      </c>
      <c r="P377" s="7">
        <v>8.8321596355600662E-2</v>
      </c>
      <c r="Q377" s="7"/>
      <c r="R377" s="13">
        <f t="shared" si="11"/>
        <v>1</v>
      </c>
      <c r="S377" s="7">
        <v>5.5260194593859395E-4</v>
      </c>
      <c r="T377" s="7">
        <v>1.265001162876982E-2</v>
      </c>
      <c r="U377" s="7">
        <v>4.7422140875188347E-2</v>
      </c>
      <c r="V377" s="7">
        <v>7.1193787892399364E-3</v>
      </c>
      <c r="W377" s="7">
        <v>1.4464048265253699E-3</v>
      </c>
      <c r="X377" s="7">
        <v>3.183329911087359E-2</v>
      </c>
      <c r="Y377" s="7"/>
      <c r="Z377" s="14">
        <f>IFERROR(IF(INDEX('All GHED Countries'!$D$5:$AB$199,MATCH($B377,'All GHED Countries'!$B$5:$B$199,0),MATCH($D377,'All GHED Countries'!$D$4:$AB$4,0))="","",INDEX('All GHED Countries'!$D$5:$AB$199,MATCH($B377,'All GHED Countries'!$B$5:$B$199,0),MATCH($D377,'All GHED Countries'!$D$4:$AB$4,0))),"")</f>
        <v>0.2019202614</v>
      </c>
    </row>
    <row r="378" spans="1:26" x14ac:dyDescent="0.2">
      <c r="A378" s="6" t="s">
        <v>138</v>
      </c>
      <c r="B378" s="6" t="s">
        <v>139</v>
      </c>
      <c r="C378" s="6"/>
      <c r="D378" s="6" t="s">
        <v>25</v>
      </c>
      <c r="E378" s="6" t="s">
        <v>453</v>
      </c>
      <c r="F378" s="7">
        <v>0.18485750813914559</v>
      </c>
      <c r="G378" s="7">
        <v>0.1076662811148674</v>
      </c>
      <c r="H378" s="7">
        <v>0</v>
      </c>
      <c r="I378" s="7">
        <v>0.107505200294465</v>
      </c>
      <c r="J378" s="7">
        <v>0.16999391431873001</v>
      </c>
      <c r="K378" s="7">
        <v>1.8784615701642679E-2</v>
      </c>
      <c r="L378" s="7">
        <v>1.072249089067568E-2</v>
      </c>
      <c r="M378" s="12">
        <f t="shared" si="10"/>
        <v>0.13032935470444082</v>
      </c>
      <c r="N378" s="7">
        <v>8.0261787348797735E-3</v>
      </c>
      <c r="O378" s="7">
        <v>0.1945269079041155</v>
      </c>
      <c r="P378" s="7">
        <v>6.7587548197037384E-2</v>
      </c>
      <c r="Q378" s="7"/>
      <c r="R378" s="13">
        <f t="shared" si="11"/>
        <v>0.99999999999999989</v>
      </c>
      <c r="S378" s="7">
        <v>0</v>
      </c>
      <c r="T378" s="7">
        <v>0</v>
      </c>
      <c r="U378" s="7">
        <v>5.4699405056622102E-2</v>
      </c>
      <c r="V378" s="7">
        <v>4.8429567240257751E-2</v>
      </c>
      <c r="W378" s="7">
        <v>3.5621977977482E-5</v>
      </c>
      <c r="X378" s="7">
        <v>2.71647604295835E-2</v>
      </c>
      <c r="Y378" s="7"/>
      <c r="Z378" s="14">
        <f>IFERROR(IF(INDEX('All GHED Countries'!$D$5:$AB$199,MATCH($B378,'All GHED Countries'!$B$5:$B$199,0),MATCH($D378,'All GHED Countries'!$D$4:$AB$4,0))="","",INDEX('All GHED Countries'!$D$5:$AB$199,MATCH($B378,'All GHED Countries'!$B$5:$B$199,0),MATCH($D378,'All GHED Countries'!$D$4:$AB$4,0))),"")</f>
        <v>0.22348571780000009</v>
      </c>
    </row>
    <row r="379" spans="1:26" x14ac:dyDescent="0.2">
      <c r="A379" s="6" t="s">
        <v>138</v>
      </c>
      <c r="B379" s="6" t="s">
        <v>139</v>
      </c>
      <c r="C379" s="6"/>
      <c r="D379" s="6" t="s">
        <v>26</v>
      </c>
      <c r="E379" s="6" t="s">
        <v>453</v>
      </c>
      <c r="F379" s="7">
        <v>0.16701234193541839</v>
      </c>
      <c r="G379" s="7">
        <v>0.1245327455451567</v>
      </c>
      <c r="H379" s="7">
        <v>0</v>
      </c>
      <c r="I379" s="7">
        <v>0.105435309318792</v>
      </c>
      <c r="J379" s="7">
        <v>8.9752834328701889E-2</v>
      </c>
      <c r="K379" s="7">
        <v>1.6688036075689909E-2</v>
      </c>
      <c r="L379" s="7">
        <v>3.0286260161114381E-2</v>
      </c>
      <c r="M379" s="12">
        <f t="shared" si="10"/>
        <v>0.13624841161079954</v>
      </c>
      <c r="N379" s="7">
        <v>5.2220206369063063E-3</v>
      </c>
      <c r="O379" s="7">
        <v>0.21287237287329761</v>
      </c>
      <c r="P379" s="7">
        <v>0.11194966751412321</v>
      </c>
      <c r="Q379" s="7"/>
      <c r="R379" s="13">
        <f t="shared" si="11"/>
        <v>0.99999999999999978</v>
      </c>
      <c r="S379" s="7">
        <v>0</v>
      </c>
      <c r="T379" s="7">
        <v>0</v>
      </c>
      <c r="U379" s="7">
        <v>6.4533475516306643E-2</v>
      </c>
      <c r="V379" s="7">
        <v>4.6523658197468273E-2</v>
      </c>
      <c r="W379" s="7">
        <v>4.87320108280846E-4</v>
      </c>
      <c r="X379" s="7">
        <v>2.4703957788743781E-2</v>
      </c>
      <c r="Y379" s="7"/>
      <c r="Z379" s="14">
        <f>IFERROR(IF(INDEX('All GHED Countries'!$D$5:$AB$199,MATCH($B379,'All GHED Countries'!$B$5:$B$199,0),MATCH($D379,'All GHED Countries'!$D$4:$AB$4,0))="","",INDEX('All GHED Countries'!$D$5:$AB$199,MATCH($B379,'All GHED Countries'!$B$5:$B$199,0),MATCH($D379,'All GHED Countries'!$D$4:$AB$4,0))),"")</f>
        <v>0.20134941100000001</v>
      </c>
    </row>
    <row r="380" spans="1:26" x14ac:dyDescent="0.2">
      <c r="A380" s="6" t="s">
        <v>138</v>
      </c>
      <c r="B380" s="6" t="s">
        <v>139</v>
      </c>
      <c r="C380" s="6"/>
      <c r="D380" s="6" t="s">
        <v>27</v>
      </c>
      <c r="E380" s="6" t="s">
        <v>453</v>
      </c>
      <c r="F380" s="7">
        <v>0.14114299976114419</v>
      </c>
      <c r="G380" s="7">
        <v>0.11944736181753771</v>
      </c>
      <c r="H380" s="7">
        <v>0</v>
      </c>
      <c r="I380" s="7">
        <v>0.10632987373571449</v>
      </c>
      <c r="J380" s="7">
        <v>7.9908100670758681E-2</v>
      </c>
      <c r="K380" s="7">
        <v>1.5078964375940749E-2</v>
      </c>
      <c r="L380" s="7">
        <v>1.8688276179414459E-2</v>
      </c>
      <c r="M380" s="12">
        <f t="shared" si="10"/>
        <v>0.15241311267623922</v>
      </c>
      <c r="N380" s="7">
        <v>2.8616171235883461E-2</v>
      </c>
      <c r="O380" s="7">
        <v>0.20448949150832779</v>
      </c>
      <c r="P380" s="7">
        <v>0.13388564803903921</v>
      </c>
      <c r="Q380" s="7"/>
      <c r="R380" s="13">
        <f t="shared" si="11"/>
        <v>0.99999999999999989</v>
      </c>
      <c r="S380" s="7">
        <v>0</v>
      </c>
      <c r="T380" s="7">
        <v>0</v>
      </c>
      <c r="U380" s="7">
        <v>6.6365257207551334E-2</v>
      </c>
      <c r="V380" s="7">
        <v>6.7845282125326617E-2</v>
      </c>
      <c r="W380" s="7">
        <v>1.6697129663115101E-4</v>
      </c>
      <c r="X380" s="7">
        <v>1.8035602046730111E-2</v>
      </c>
      <c r="Y380" s="7"/>
      <c r="Z380" s="14">
        <f>IFERROR(IF(INDEX('All GHED Countries'!$D$5:$AB$199,MATCH($B380,'All GHED Countries'!$B$5:$B$199,0),MATCH($D380,'All GHED Countries'!$D$4:$AB$4,0))="","",INDEX('All GHED Countries'!$D$5:$AB$199,MATCH($B380,'All GHED Countries'!$B$5:$B$199,0),MATCH($D380,'All GHED Countries'!$D$4:$AB$4,0))),"")</f>
        <v>0.21347995759999999</v>
      </c>
    </row>
    <row r="381" spans="1:26" x14ac:dyDescent="0.2">
      <c r="A381" s="6" t="s">
        <v>138</v>
      </c>
      <c r="B381" s="6" t="s">
        <v>139</v>
      </c>
      <c r="C381" s="6"/>
      <c r="D381" s="6" t="s">
        <v>28</v>
      </c>
      <c r="E381" s="6" t="s">
        <v>452</v>
      </c>
      <c r="F381" s="7">
        <v>0.15804281065460779</v>
      </c>
      <c r="G381" s="7">
        <v>0.108348724006708</v>
      </c>
      <c r="H381" s="7">
        <v>0</v>
      </c>
      <c r="I381" s="7">
        <v>0.13475972363339681</v>
      </c>
      <c r="J381" s="7">
        <v>0.11359411305367779</v>
      </c>
      <c r="K381" s="7">
        <v>1.8906975593868509E-2</v>
      </c>
      <c r="L381" s="7">
        <v>1.9044495467049422E-2</v>
      </c>
      <c r="M381" s="12">
        <f t="shared" si="10"/>
        <v>0.14438136027045548</v>
      </c>
      <c r="N381" s="7">
        <v>0</v>
      </c>
      <c r="O381" s="7">
        <v>0.20784478704922749</v>
      </c>
      <c r="P381" s="7">
        <v>9.5077010271008719E-2</v>
      </c>
      <c r="Q381" s="7"/>
      <c r="R381" s="13">
        <f t="shared" si="11"/>
        <v>1.0000000000000002</v>
      </c>
      <c r="S381" s="7">
        <v>0</v>
      </c>
      <c r="T381" s="7">
        <v>0</v>
      </c>
      <c r="U381" s="7">
        <v>6.9467641073213321E-2</v>
      </c>
      <c r="V381" s="7">
        <v>4.9414737972515152E-2</v>
      </c>
      <c r="W381" s="7">
        <v>0</v>
      </c>
      <c r="X381" s="7">
        <v>2.5498981224727001E-2</v>
      </c>
      <c r="Y381" s="7"/>
      <c r="Z381" s="14">
        <f>IFERROR(IF(INDEX('All GHED Countries'!$D$5:$AB$199,MATCH($B381,'All GHED Countries'!$B$5:$B$199,0),MATCH($D381,'All GHED Countries'!$D$4:$AB$4,0))="","",INDEX('All GHED Countries'!$D$5:$AB$199,MATCH($B381,'All GHED Countries'!$B$5:$B$199,0),MATCH($D381,'All GHED Countries'!$D$4:$AB$4,0))),"")</f>
        <v>0.223041935</v>
      </c>
    </row>
    <row r="382" spans="1:26" x14ac:dyDescent="0.2">
      <c r="A382" s="6" t="s">
        <v>138</v>
      </c>
      <c r="B382" s="6" t="s">
        <v>139</v>
      </c>
      <c r="C382" s="6"/>
      <c r="D382" s="6" t="s">
        <v>29</v>
      </c>
      <c r="E382" s="6" t="s">
        <v>452</v>
      </c>
      <c r="F382" s="7">
        <v>6.2555772076955826E-2</v>
      </c>
      <c r="G382" s="7">
        <v>0.15821327167889521</v>
      </c>
      <c r="H382" s="7">
        <v>0</v>
      </c>
      <c r="I382" s="7">
        <v>0.13638702478170109</v>
      </c>
      <c r="J382" s="7">
        <v>0.15027294106319089</v>
      </c>
      <c r="K382" s="7">
        <v>1.8523974538781691E-2</v>
      </c>
      <c r="L382" s="7">
        <v>2.1000244305185552E-2</v>
      </c>
      <c r="M382" s="12">
        <f t="shared" si="10"/>
        <v>0.16634654793325623</v>
      </c>
      <c r="N382" s="7">
        <v>1.7263073458461599E-4</v>
      </c>
      <c r="O382" s="7">
        <v>0.20718836338948721</v>
      </c>
      <c r="P382" s="7">
        <v>7.9339229497961697E-2</v>
      </c>
      <c r="Q382" s="7"/>
      <c r="R382" s="13">
        <f t="shared" si="11"/>
        <v>1</v>
      </c>
      <c r="S382" s="7">
        <v>0</v>
      </c>
      <c r="T382" s="7">
        <v>0</v>
      </c>
      <c r="U382" s="7">
        <v>5.8161307245399162E-2</v>
      </c>
      <c r="V382" s="7">
        <v>8.3151366199576679E-2</v>
      </c>
      <c r="W382" s="7">
        <v>0</v>
      </c>
      <c r="X382" s="7">
        <v>2.503387448828041E-2</v>
      </c>
      <c r="Y382" s="7"/>
      <c r="Z382" s="14">
        <f>IFERROR(IF(INDEX('All GHED Countries'!$D$5:$AB$199,MATCH($B382,'All GHED Countries'!$B$5:$B$199,0),MATCH($D382,'All GHED Countries'!$D$4:$AB$4,0))="","",INDEX('All GHED Countries'!$D$5:$AB$199,MATCH($B382,'All GHED Countries'!$B$5:$B$199,0),MATCH($D382,'All GHED Countries'!$D$4:$AB$4,0))),"")</f>
        <v>0.19849109649999999</v>
      </c>
    </row>
    <row r="383" spans="1:26" x14ac:dyDescent="0.2">
      <c r="A383" s="6" t="s">
        <v>138</v>
      </c>
      <c r="B383" s="6" t="s">
        <v>139</v>
      </c>
      <c r="C383" s="6"/>
      <c r="D383" s="6" t="s">
        <v>30</v>
      </c>
      <c r="E383" s="6" t="s">
        <v>452</v>
      </c>
      <c r="F383" s="7">
        <v>0.1149254818954035</v>
      </c>
      <c r="G383" s="7">
        <v>0.16397637270055859</v>
      </c>
      <c r="H383" s="7">
        <v>0</v>
      </c>
      <c r="I383" s="7">
        <v>0.1094285002473762</v>
      </c>
      <c r="J383" s="7">
        <v>0.1403180401134867</v>
      </c>
      <c r="K383" s="7">
        <v>1.9885023326531689E-2</v>
      </c>
      <c r="L383" s="7">
        <v>2.5776095684416678E-2</v>
      </c>
      <c r="M383" s="12">
        <f t="shared" si="10"/>
        <v>0.15130642964495961</v>
      </c>
      <c r="N383" s="7">
        <v>1.1982508161154901E-4</v>
      </c>
      <c r="O383" s="7">
        <v>0.2136431591530118</v>
      </c>
      <c r="P383" s="7">
        <v>6.0621072152643743E-2</v>
      </c>
      <c r="Q383" s="7"/>
      <c r="R383" s="13">
        <f t="shared" si="11"/>
        <v>1</v>
      </c>
      <c r="S383" s="7">
        <v>0</v>
      </c>
      <c r="T383" s="7">
        <v>0</v>
      </c>
      <c r="U383" s="7">
        <v>4.8405640934908692E-2</v>
      </c>
      <c r="V383" s="7">
        <v>7.2373224495854246E-2</v>
      </c>
      <c r="W383" s="7">
        <v>0</v>
      </c>
      <c r="X383" s="7">
        <v>3.052756421419666E-2</v>
      </c>
      <c r="Y383" s="7"/>
      <c r="Z383" s="14" t="str">
        <f>IFERROR(IF(INDEX('All GHED Countries'!$D$5:$AB$199,MATCH($B383,'All GHED Countries'!$B$5:$B$199,0),MATCH($D383,'All GHED Countries'!$D$4:$AB$4,0))="","",INDEX('All GHED Countries'!$D$5:$AB$199,MATCH($B383,'All GHED Countries'!$B$5:$B$199,0),MATCH($D383,'All GHED Countries'!$D$4:$AB$4,0))),"")</f>
        <v/>
      </c>
    </row>
    <row r="384" spans="1:26" x14ac:dyDescent="0.2">
      <c r="A384" s="6" t="s">
        <v>138</v>
      </c>
      <c r="B384" s="6" t="s">
        <v>139</v>
      </c>
      <c r="C384" s="6"/>
      <c r="D384" s="6" t="s">
        <v>454</v>
      </c>
      <c r="E384" s="6" t="s">
        <v>452</v>
      </c>
      <c r="F384" s="7">
        <v>9.6237225588347866E-2</v>
      </c>
      <c r="G384" s="7">
        <v>0.19453931312919939</v>
      </c>
      <c r="H384" s="7">
        <v>0</v>
      </c>
      <c r="I384" s="7">
        <v>0.10992258146254601</v>
      </c>
      <c r="J384" s="7">
        <v>0.1025503759338149</v>
      </c>
      <c r="K384" s="7">
        <v>2.1478110637588841E-2</v>
      </c>
      <c r="L384" s="7">
        <v>7.2699632116734591E-3</v>
      </c>
      <c r="M384" s="12">
        <f t="shared" si="10"/>
        <v>0.22496943205541714</v>
      </c>
      <c r="N384" s="7">
        <v>6.4810962783299006E-5</v>
      </c>
      <c r="O384" s="7">
        <v>0.1939529301533898</v>
      </c>
      <c r="P384" s="7">
        <v>4.901525686523929E-2</v>
      </c>
      <c r="Q384" s="7"/>
      <c r="R384" s="13">
        <f t="shared" si="11"/>
        <v>1</v>
      </c>
      <c r="S384" s="7">
        <v>0</v>
      </c>
      <c r="T384" s="7">
        <v>0</v>
      </c>
      <c r="U384" s="7">
        <v>5.4623702735434251E-2</v>
      </c>
      <c r="V384" s="7">
        <v>7.8349900026884522E-2</v>
      </c>
      <c r="W384" s="7">
        <v>0</v>
      </c>
      <c r="X384" s="7">
        <v>9.1995829293098352E-2</v>
      </c>
      <c r="Y384" s="7"/>
      <c r="Z384" s="14" t="str">
        <f>IFERROR(IF(INDEX('All GHED Countries'!$D$5:$AB$199,MATCH($B384,'All GHED Countries'!$B$5:$B$199,0),MATCH($D384,'All GHED Countries'!$D$4:$AB$4,0))="","",INDEX('All GHED Countries'!$D$5:$AB$199,MATCH($B384,'All GHED Countries'!$B$5:$B$199,0),MATCH($D384,'All GHED Countries'!$D$4:$AB$4,0))),"")</f>
        <v/>
      </c>
    </row>
    <row r="385" spans="1:26" x14ac:dyDescent="0.2">
      <c r="A385" s="6" t="s">
        <v>140</v>
      </c>
      <c r="B385" s="6" t="s">
        <v>141</v>
      </c>
      <c r="C385" s="6"/>
      <c r="D385" s="6" t="s">
        <v>23</v>
      </c>
      <c r="E385" s="6" t="s">
        <v>452</v>
      </c>
      <c r="F385" s="7">
        <v>0.48119302044115109</v>
      </c>
      <c r="G385" s="7">
        <v>0.1144845604630735</v>
      </c>
      <c r="H385" s="7">
        <v>1.98730955914923E-2</v>
      </c>
      <c r="I385" s="7">
        <v>8.5999037184771435E-2</v>
      </c>
      <c r="J385" s="7">
        <v>9.1321968993295644E-2</v>
      </c>
      <c r="K385" s="7">
        <v>3.4430873569224529E-2</v>
      </c>
      <c r="L385" s="7">
        <v>5.7596755707711132E-3</v>
      </c>
      <c r="M385" s="12">
        <f t="shared" si="10"/>
        <v>8.4259901162188344E-2</v>
      </c>
      <c r="N385" s="7">
        <v>5.0377194103470796E-3</v>
      </c>
      <c r="O385" s="7">
        <v>7.6072175082772128E-2</v>
      </c>
      <c r="P385" s="7">
        <v>1.5679725309128581E-3</v>
      </c>
      <c r="Q385" s="7"/>
      <c r="R385" s="13">
        <f t="shared" si="11"/>
        <v>1</v>
      </c>
      <c r="S385" s="7">
        <v>6.8866067629150805E-4</v>
      </c>
      <c r="T385" s="7">
        <v>3.784477335075114E-3</v>
      </c>
      <c r="U385" s="7">
        <v>2.5987726572670559E-2</v>
      </c>
      <c r="V385" s="7">
        <v>1.545858358671742E-3</v>
      </c>
      <c r="W385" s="7">
        <v>6.9759619210642808E-4</v>
      </c>
      <c r="X385" s="7">
        <v>5.1555582027372988E-2</v>
      </c>
      <c r="Y385" s="7"/>
      <c r="Z385" s="14">
        <f>IFERROR(IF(INDEX('All GHED Countries'!$D$5:$AB$199,MATCH($B385,'All GHED Countries'!$B$5:$B$199,0),MATCH($D385,'All GHED Countries'!$D$4:$AB$4,0))="","",INDEX('All GHED Countries'!$D$5:$AB$199,MATCH($B385,'All GHED Countries'!$B$5:$B$199,0),MATCH($D385,'All GHED Countries'!$D$4:$AB$4,0))),"")</f>
        <v>9.1549806599999978E-2</v>
      </c>
    </row>
    <row r="386" spans="1:26" x14ac:dyDescent="0.2">
      <c r="A386" s="6" t="s">
        <v>140</v>
      </c>
      <c r="B386" s="6" t="s">
        <v>141</v>
      </c>
      <c r="C386" s="6"/>
      <c r="D386" s="6" t="s">
        <v>24</v>
      </c>
      <c r="E386" s="6" t="s">
        <v>452</v>
      </c>
      <c r="F386" s="7">
        <v>0.52070823434760938</v>
      </c>
      <c r="G386" s="7">
        <v>0.11486779635804691</v>
      </c>
      <c r="H386" s="7">
        <v>1.714453544565897E-2</v>
      </c>
      <c r="I386" s="7">
        <v>4.3657067721393689E-2</v>
      </c>
      <c r="J386" s="7">
        <v>0.1141497414643094</v>
      </c>
      <c r="K386" s="7">
        <v>1.7302820358128319E-2</v>
      </c>
      <c r="L386" s="7">
        <v>5.2331166303387589E-3</v>
      </c>
      <c r="M386" s="12">
        <f t="shared" si="10"/>
        <v>8.3509756734818585E-2</v>
      </c>
      <c r="N386" s="7">
        <v>2.0482007219378281E-3</v>
      </c>
      <c r="O386" s="7">
        <v>7.9520430429995292E-2</v>
      </c>
      <c r="P386" s="7">
        <v>1.8582997877619591E-3</v>
      </c>
      <c r="Q386" s="7"/>
      <c r="R386" s="13">
        <f t="shared" si="11"/>
        <v>0.999999999999999</v>
      </c>
      <c r="S386" s="7">
        <v>1.9628481610154832E-3</v>
      </c>
      <c r="T386" s="7">
        <v>3.465036776041582E-3</v>
      </c>
      <c r="U386" s="7">
        <v>3.031397227411815E-2</v>
      </c>
      <c r="V386" s="7">
        <v>7.2672880094098247E-3</v>
      </c>
      <c r="W386" s="7">
        <v>2.9681363118554002E-4</v>
      </c>
      <c r="X386" s="7">
        <v>4.0203797883048002E-2</v>
      </c>
      <c r="Y386" s="7"/>
      <c r="Z386" s="14">
        <f>IFERROR(IF(INDEX('All GHED Countries'!$D$5:$AB$199,MATCH($B386,'All GHED Countries'!$B$5:$B$199,0),MATCH($D386,'All GHED Countries'!$D$4:$AB$4,0))="","",INDEX('All GHED Countries'!$D$5:$AB$199,MATCH($B386,'All GHED Countries'!$B$5:$B$199,0),MATCH($D386,'All GHED Countries'!$D$4:$AB$4,0))),"")</f>
        <v>7.9493136399999997E-2</v>
      </c>
    </row>
    <row r="387" spans="1:26" x14ac:dyDescent="0.2">
      <c r="A387" s="6" t="s">
        <v>140</v>
      </c>
      <c r="B387" s="6" t="s">
        <v>141</v>
      </c>
      <c r="C387" s="6"/>
      <c r="D387" s="6" t="s">
        <v>25</v>
      </c>
      <c r="E387" s="6" t="s">
        <v>452</v>
      </c>
      <c r="F387" s="7">
        <v>0.42755473557522811</v>
      </c>
      <c r="G387" s="7">
        <v>0.1180352759432941</v>
      </c>
      <c r="H387" s="7">
        <v>2.40891309957359E-2</v>
      </c>
      <c r="I387" s="7">
        <v>7.2928423318252777E-2</v>
      </c>
      <c r="J387" s="7">
        <v>0.15885956147669009</v>
      </c>
      <c r="K387" s="7">
        <v>4.2579065604210157E-3</v>
      </c>
      <c r="L387" s="7">
        <v>8.9072780044089622E-3</v>
      </c>
      <c r="M387" s="12">
        <f t="shared" si="10"/>
        <v>0.10116114849584754</v>
      </c>
      <c r="N387" s="7">
        <v>5.2653262350290178E-3</v>
      </c>
      <c r="O387" s="7">
        <v>7.8231946377627537E-2</v>
      </c>
      <c r="P387" s="7">
        <v>7.0926701746527811E-4</v>
      </c>
      <c r="Q387" s="7"/>
      <c r="R387" s="13">
        <f t="shared" si="11"/>
        <v>1.0000000000000004</v>
      </c>
      <c r="S387" s="7">
        <v>3.200298416572581E-3</v>
      </c>
      <c r="T387" s="7">
        <v>6.2988792101436432E-3</v>
      </c>
      <c r="U387" s="7">
        <v>3.5446890656896962E-2</v>
      </c>
      <c r="V387" s="7">
        <v>4.0693914668781684E-3</v>
      </c>
      <c r="W387" s="7">
        <v>1.605986918688188E-3</v>
      </c>
      <c r="X387" s="7">
        <v>5.0539701826667997E-2</v>
      </c>
      <c r="Y387" s="7"/>
      <c r="Z387" s="14">
        <f>IFERROR(IF(INDEX('All GHED Countries'!$D$5:$AB$199,MATCH($B387,'All GHED Countries'!$B$5:$B$199,0),MATCH($D387,'All GHED Countries'!$D$4:$AB$4,0))="","",INDEX('All GHED Countries'!$D$5:$AB$199,MATCH($B387,'All GHED Countries'!$B$5:$B$199,0),MATCH($D387,'All GHED Countries'!$D$4:$AB$4,0))),"")</f>
        <v>6.3698492100000004E-2</v>
      </c>
    </row>
    <row r="388" spans="1:26" x14ac:dyDescent="0.2">
      <c r="A388" s="6" t="s">
        <v>140</v>
      </c>
      <c r="B388" s="6" t="s">
        <v>141</v>
      </c>
      <c r="C388" s="6"/>
      <c r="D388" s="6" t="s">
        <v>26</v>
      </c>
      <c r="E388" s="6" t="s">
        <v>452</v>
      </c>
      <c r="F388" s="7">
        <v>0.40466236277098611</v>
      </c>
      <c r="G388" s="7">
        <v>0.1113527946636597</v>
      </c>
      <c r="H388" s="7">
        <v>1.8069482735373881E-2</v>
      </c>
      <c r="I388" s="7">
        <v>6.3149401318622803E-2</v>
      </c>
      <c r="J388" s="7">
        <v>0.2256271545429582</v>
      </c>
      <c r="K388" s="7">
        <v>2.2467640041991502E-3</v>
      </c>
      <c r="L388" s="7">
        <v>5.4628229203450493E-3</v>
      </c>
      <c r="M388" s="12">
        <f t="shared" si="10"/>
        <v>0.1014270903391422</v>
      </c>
      <c r="N388" s="7">
        <v>5.2306408886300566E-3</v>
      </c>
      <c r="O388" s="7">
        <v>5.6549133340488687E-2</v>
      </c>
      <c r="P388" s="7">
        <v>6.2223524755938564E-3</v>
      </c>
      <c r="Q388" s="7"/>
      <c r="R388" s="13">
        <f t="shared" si="11"/>
        <v>0.99999999999999967</v>
      </c>
      <c r="S388" s="7">
        <v>1.6203510110582971E-2</v>
      </c>
      <c r="T388" s="7">
        <v>1.9694921351020868E-3</v>
      </c>
      <c r="U388" s="7">
        <v>2.4815895202413441E-2</v>
      </c>
      <c r="V388" s="7">
        <v>5.7842081489544424E-3</v>
      </c>
      <c r="W388" s="7">
        <v>7.6368237144199002E-4</v>
      </c>
      <c r="X388" s="7">
        <v>5.1890302370647262E-2</v>
      </c>
      <c r="Y388" s="7"/>
      <c r="Z388" s="14">
        <f>IFERROR(IF(INDEX('All GHED Countries'!$D$5:$AB$199,MATCH($B388,'All GHED Countries'!$B$5:$B$199,0),MATCH($D388,'All GHED Countries'!$D$4:$AB$4,0))="","",INDEX('All GHED Countries'!$D$5:$AB$199,MATCH($B388,'All GHED Countries'!$B$5:$B$199,0),MATCH($D388,'All GHED Countries'!$D$4:$AB$4,0))),"")</f>
        <v>6.7297944999999998E-2</v>
      </c>
    </row>
    <row r="389" spans="1:26" x14ac:dyDescent="0.2">
      <c r="A389" s="6" t="s">
        <v>140</v>
      </c>
      <c r="B389" s="6" t="s">
        <v>141</v>
      </c>
      <c r="C389" s="6"/>
      <c r="D389" s="6" t="s">
        <v>27</v>
      </c>
      <c r="E389" s="6" t="s">
        <v>452</v>
      </c>
      <c r="F389" s="7">
        <v>0.38345181311165311</v>
      </c>
      <c r="G389" s="7">
        <v>0.1117257038912548</v>
      </c>
      <c r="H389" s="7">
        <v>2.353906138807944E-2</v>
      </c>
      <c r="I389" s="7">
        <v>7.2951491809433305E-2</v>
      </c>
      <c r="J389" s="7">
        <v>0.2204711306525958</v>
      </c>
      <c r="K389" s="7">
        <v>1.9564880442232441E-3</v>
      </c>
      <c r="L389" s="7">
        <v>6.3272739481233242E-3</v>
      </c>
      <c r="M389" s="12">
        <f t="shared" ref="M389:M452" si="12">SUM(S389:Y389)</f>
        <v>0.10217273214079547</v>
      </c>
      <c r="N389" s="7">
        <v>6.8059566051266252E-3</v>
      </c>
      <c r="O389" s="7">
        <v>5.3080516889443007E-2</v>
      </c>
      <c r="P389" s="7">
        <v>1.7517831519272851E-2</v>
      </c>
      <c r="Q389" s="7"/>
      <c r="R389" s="13">
        <f t="shared" ref="R389:R452" si="13">SUM(F389:Q389)</f>
        <v>1.0000000000000009</v>
      </c>
      <c r="S389" s="7">
        <v>1.71004956741291E-3</v>
      </c>
      <c r="T389" s="7">
        <v>4.1193591383451031E-3</v>
      </c>
      <c r="U389" s="7">
        <v>2.5650740311597559E-2</v>
      </c>
      <c r="V389" s="7">
        <v>1.0988954418086901E-2</v>
      </c>
      <c r="W389" s="7">
        <v>1.2702909442528149E-3</v>
      </c>
      <c r="X389" s="7">
        <v>5.8433337761100192E-2</v>
      </c>
      <c r="Y389" s="7"/>
      <c r="Z389" s="14">
        <f>IFERROR(IF(INDEX('All GHED Countries'!$D$5:$AB$199,MATCH($B389,'All GHED Countries'!$B$5:$B$199,0),MATCH($D389,'All GHED Countries'!$D$4:$AB$4,0))="","",INDEX('All GHED Countries'!$D$5:$AB$199,MATCH($B389,'All GHED Countries'!$B$5:$B$199,0),MATCH($D389,'All GHED Countries'!$D$4:$AB$4,0))),"")</f>
        <v>5.325120450000001E-2</v>
      </c>
    </row>
    <row r="390" spans="1:26" x14ac:dyDescent="0.2">
      <c r="A390" s="6" t="s">
        <v>140</v>
      </c>
      <c r="B390" s="6" t="s">
        <v>141</v>
      </c>
      <c r="C390" s="6"/>
      <c r="D390" s="6" t="s">
        <v>28</v>
      </c>
      <c r="E390" s="6" t="s">
        <v>452</v>
      </c>
      <c r="F390" s="7">
        <v>0.42288401362931061</v>
      </c>
      <c r="G390" s="7">
        <v>0.1054717347226867</v>
      </c>
      <c r="H390" s="7">
        <v>1.714682932267482E-2</v>
      </c>
      <c r="I390" s="7">
        <v>4.5306050862774262E-2</v>
      </c>
      <c r="J390" s="7">
        <v>0.203288540254494</v>
      </c>
      <c r="K390" s="7">
        <v>1.1066282993774099E-3</v>
      </c>
      <c r="L390" s="7">
        <v>9.961462235126688E-3</v>
      </c>
      <c r="M390" s="12">
        <f t="shared" si="12"/>
        <v>0.11475630723620389</v>
      </c>
      <c r="N390" s="7">
        <v>4.7915422227525336E-3</v>
      </c>
      <c r="O390" s="7">
        <v>6.8123909030943494E-2</v>
      </c>
      <c r="P390" s="7">
        <v>7.1629821836536158E-3</v>
      </c>
      <c r="Q390" s="7"/>
      <c r="R390" s="13">
        <f t="shared" si="13"/>
        <v>0.99999999999999811</v>
      </c>
      <c r="S390" s="7">
        <v>6.7618945569229998E-4</v>
      </c>
      <c r="T390" s="7">
        <v>5.0160346568263129E-3</v>
      </c>
      <c r="U390" s="7">
        <v>1.4859642417595419E-2</v>
      </c>
      <c r="V390" s="7">
        <v>1.1899370259758211E-2</v>
      </c>
      <c r="W390" s="7">
        <v>6.7728062479255997E-4</v>
      </c>
      <c r="X390" s="7">
        <v>8.1627789821539093E-2</v>
      </c>
      <c r="Y390" s="7"/>
      <c r="Z390" s="14">
        <f>IFERROR(IF(INDEX('All GHED Countries'!$D$5:$AB$199,MATCH($B390,'All GHED Countries'!$B$5:$B$199,0),MATCH($D390,'All GHED Countries'!$D$4:$AB$4,0))="","",INDEX('All GHED Countries'!$D$5:$AB$199,MATCH($B390,'All GHED Countries'!$B$5:$B$199,0),MATCH($D390,'All GHED Countries'!$D$4:$AB$4,0))),"")</f>
        <v>6.9878234900000016E-2</v>
      </c>
    </row>
    <row r="391" spans="1:26" x14ac:dyDescent="0.2">
      <c r="A391" s="6" t="s">
        <v>140</v>
      </c>
      <c r="B391" s="6" t="s">
        <v>141</v>
      </c>
      <c r="C391" s="6"/>
      <c r="D391" s="6" t="s">
        <v>29</v>
      </c>
      <c r="E391" s="6" t="s">
        <v>452</v>
      </c>
      <c r="F391" s="7">
        <v>0.36203756805264481</v>
      </c>
      <c r="G391" s="7">
        <v>0.1121801498624021</v>
      </c>
      <c r="H391" s="7">
        <v>2.1356467011807791E-2</v>
      </c>
      <c r="I391" s="7">
        <v>6.819832672088659E-2</v>
      </c>
      <c r="J391" s="7">
        <v>0.21522788423900191</v>
      </c>
      <c r="K391" s="7">
        <v>1.641180389974975E-3</v>
      </c>
      <c r="L391" s="7">
        <v>7.904812244483304E-3</v>
      </c>
      <c r="M391" s="12">
        <f t="shared" si="12"/>
        <v>0.12442619116441583</v>
      </c>
      <c r="N391" s="7">
        <v>6.376410964726003E-3</v>
      </c>
      <c r="O391" s="7">
        <v>6.8469194936817218E-2</v>
      </c>
      <c r="P391" s="7">
        <v>1.2181814412841449E-2</v>
      </c>
      <c r="Q391" s="7"/>
      <c r="R391" s="13">
        <f t="shared" si="13"/>
        <v>1.0000000000000018</v>
      </c>
      <c r="S391" s="7">
        <v>5.5822646345845097E-4</v>
      </c>
      <c r="T391" s="7">
        <v>3.7163200384027602E-4</v>
      </c>
      <c r="U391" s="7">
        <v>1.9017085823337401E-2</v>
      </c>
      <c r="V391" s="7">
        <v>2.1575015069934669E-2</v>
      </c>
      <c r="W391" s="7">
        <v>9.8986602435244503E-4</v>
      </c>
      <c r="X391" s="7">
        <v>8.1914365779492598E-2</v>
      </c>
      <c r="Y391" s="7"/>
      <c r="Z391" s="14">
        <f>IFERROR(IF(INDEX('All GHED Countries'!$D$5:$AB$199,MATCH($B391,'All GHED Countries'!$B$5:$B$199,0),MATCH($D391,'All GHED Countries'!$D$4:$AB$4,0))="","",INDEX('All GHED Countries'!$D$5:$AB$199,MATCH($B391,'All GHED Countries'!$B$5:$B$199,0),MATCH($D391,'All GHED Countries'!$D$4:$AB$4,0))),"")</f>
        <v>9.4504451799999986E-2</v>
      </c>
    </row>
    <row r="392" spans="1:26" x14ac:dyDescent="0.2">
      <c r="A392" s="6" t="s">
        <v>140</v>
      </c>
      <c r="B392" s="6" t="s">
        <v>141</v>
      </c>
      <c r="C392" s="6"/>
      <c r="D392" s="6" t="s">
        <v>30</v>
      </c>
      <c r="E392" s="6" t="s">
        <v>452</v>
      </c>
      <c r="F392" s="7">
        <v>0.51368034620169578</v>
      </c>
      <c r="G392" s="7">
        <v>0.11925871770118469</v>
      </c>
      <c r="H392" s="7">
        <v>1.6485417296856261E-2</v>
      </c>
      <c r="I392" s="7">
        <v>6.098354064934948E-2</v>
      </c>
      <c r="J392" s="7">
        <v>2.8729270133820199E-2</v>
      </c>
      <c r="K392" s="7">
        <v>4.0091016112549498E-4</v>
      </c>
      <c r="L392" s="7">
        <v>8.9507144051605397E-4</v>
      </c>
      <c r="M392" s="12">
        <f t="shared" si="12"/>
        <v>8.4701060219088686E-2</v>
      </c>
      <c r="N392" s="7">
        <v>5.4975719696571893E-3</v>
      </c>
      <c r="O392" s="7">
        <v>0.16531092016350871</v>
      </c>
      <c r="P392" s="7">
        <v>4.0571740631980321E-3</v>
      </c>
      <c r="Q392" s="7"/>
      <c r="R392" s="13">
        <f t="shared" si="13"/>
        <v>1.0000000000000007</v>
      </c>
      <c r="S392" s="7">
        <v>3.8000338075770999E-4</v>
      </c>
      <c r="T392" s="7">
        <v>2.5298230575121798E-4</v>
      </c>
      <c r="U392" s="7">
        <v>1.2945564888228549E-2</v>
      </c>
      <c r="V392" s="7">
        <v>1.468683268019942E-2</v>
      </c>
      <c r="W392" s="7">
        <v>6.7383483294700499E-4</v>
      </c>
      <c r="X392" s="7">
        <v>5.5761842131204789E-2</v>
      </c>
      <c r="Y392" s="7"/>
      <c r="Z392" s="14" t="str">
        <f>IFERROR(IF(INDEX('All GHED Countries'!$D$5:$AB$199,MATCH($B392,'All GHED Countries'!$B$5:$B$199,0),MATCH($D392,'All GHED Countries'!$D$4:$AB$4,0))="","",INDEX('All GHED Countries'!$D$5:$AB$199,MATCH($B392,'All GHED Countries'!$B$5:$B$199,0),MATCH($D392,'All GHED Countries'!$D$4:$AB$4,0))),"")</f>
        <v/>
      </c>
    </row>
    <row r="393" spans="1:26" x14ac:dyDescent="0.2">
      <c r="A393" s="6" t="s">
        <v>142</v>
      </c>
      <c r="B393" s="6" t="s">
        <v>143</v>
      </c>
      <c r="C393" s="6"/>
      <c r="D393" s="6" t="s">
        <v>11</v>
      </c>
      <c r="E393" s="6" t="s">
        <v>452</v>
      </c>
      <c r="F393" s="7">
        <v>0.2774467649467649</v>
      </c>
      <c r="G393" s="7">
        <v>0.32306511056511061</v>
      </c>
      <c r="H393" s="7">
        <v>4.5219082719082718E-2</v>
      </c>
      <c r="I393" s="7">
        <v>5.5702293202293203E-2</v>
      </c>
      <c r="J393" s="7">
        <v>8.9445126945126963E-2</v>
      </c>
      <c r="K393" s="7">
        <v>6.9615069615069627E-3</v>
      </c>
      <c r="L393" s="7">
        <v>1.812039312039312E-3</v>
      </c>
      <c r="M393" s="12">
        <f t="shared" si="12"/>
        <v>1.322686322686323E-2</v>
      </c>
      <c r="N393" s="7">
        <v>7.8214578214578206E-3</v>
      </c>
      <c r="O393" s="7">
        <v>0.13826781326781329</v>
      </c>
      <c r="P393" s="7">
        <v>4.1031941031941042E-2</v>
      </c>
      <c r="Q393" s="7"/>
      <c r="R393" s="13">
        <f t="shared" si="13"/>
        <v>1.0000000000000002</v>
      </c>
      <c r="S393" s="7"/>
      <c r="T393" s="7"/>
      <c r="U393" s="7"/>
      <c r="V393" s="7"/>
      <c r="W393" s="7"/>
      <c r="X393" s="7"/>
      <c r="Y393" s="7">
        <v>1.322686322686323E-2</v>
      </c>
      <c r="Z393" s="14">
        <f>IFERROR(IF(INDEX('All GHED Countries'!$D$5:$AB$199,MATCH($B393,'All GHED Countries'!$B$5:$B$199,0),MATCH($D393,'All GHED Countries'!$D$4:$AB$4,0))="","",INDEX('All GHED Countries'!$D$5:$AB$199,MATCH($B393,'All GHED Countries'!$B$5:$B$199,0),MATCH($D393,'All GHED Countries'!$D$4:$AB$4,0))),"")</f>
        <v>6.6097803099999991E-2</v>
      </c>
    </row>
    <row r="394" spans="1:26" x14ac:dyDescent="0.2">
      <c r="A394" s="6" t="s">
        <v>142</v>
      </c>
      <c r="B394" s="6" t="s">
        <v>143</v>
      </c>
      <c r="C394" s="6"/>
      <c r="D394" s="6" t="s">
        <v>12</v>
      </c>
      <c r="E394" s="6" t="s">
        <v>452</v>
      </c>
      <c r="F394" s="7">
        <v>0.24127929042591151</v>
      </c>
      <c r="G394" s="7">
        <v>0.306756249003727</v>
      </c>
      <c r="H394" s="7">
        <v>4.9962616042082568E-2</v>
      </c>
      <c r="I394" s="7">
        <v>5.7407147357314732E-2</v>
      </c>
      <c r="J394" s="7">
        <v>0.11932883460729771</v>
      </c>
      <c r="K394" s="7">
        <v>7.1826538435263128E-3</v>
      </c>
      <c r="L394" s="7">
        <v>2.7383274758807051E-3</v>
      </c>
      <c r="M394" s="12">
        <f t="shared" si="12"/>
        <v>1.2845279753455639E-2</v>
      </c>
      <c r="N394" s="7">
        <v>8.4009533858100359E-3</v>
      </c>
      <c r="O394" s="7">
        <v>0.13853697785807001</v>
      </c>
      <c r="P394" s="7">
        <v>5.5561670246923892E-2</v>
      </c>
      <c r="Q394" s="7"/>
      <c r="R394" s="13">
        <f t="shared" si="13"/>
        <v>1.0000000000000002</v>
      </c>
      <c r="S394" s="7"/>
      <c r="T394" s="7"/>
      <c r="U394" s="7"/>
      <c r="V394" s="7"/>
      <c r="W394" s="7"/>
      <c r="X394" s="7"/>
      <c r="Y394" s="7">
        <v>1.2845279753455639E-2</v>
      </c>
      <c r="Z394" s="14">
        <f>IFERROR(IF(INDEX('All GHED Countries'!$D$5:$AB$199,MATCH($B394,'All GHED Countries'!$B$5:$B$199,0),MATCH($D394,'All GHED Countries'!$D$4:$AB$4,0))="","",INDEX('All GHED Countries'!$D$5:$AB$199,MATCH($B394,'All GHED Countries'!$B$5:$B$199,0),MATCH($D394,'All GHED Countries'!$D$4:$AB$4,0))),"")</f>
        <v>6.6309614200000006E-2</v>
      </c>
    </row>
    <row r="395" spans="1:26" x14ac:dyDescent="0.2">
      <c r="A395" s="6" t="s">
        <v>142</v>
      </c>
      <c r="B395" s="6" t="s">
        <v>143</v>
      </c>
      <c r="C395" s="6"/>
      <c r="D395" s="6" t="s">
        <v>13</v>
      </c>
      <c r="E395" s="6" t="s">
        <v>452</v>
      </c>
      <c r="F395" s="7">
        <v>0.21733062596886529</v>
      </c>
      <c r="G395" s="7">
        <v>0.24218073841182511</v>
      </c>
      <c r="H395" s="7">
        <v>5.4311477915329358E-2</v>
      </c>
      <c r="I395" s="7">
        <v>6.2885963188576671E-2</v>
      </c>
      <c r="J395" s="7">
        <v>0.18046767537826691</v>
      </c>
      <c r="K395" s="7">
        <v>7.9081242767625164E-3</v>
      </c>
      <c r="L395" s="7">
        <v>1.9286041789480578E-2</v>
      </c>
      <c r="M395" s="12">
        <f t="shared" si="12"/>
        <v>1.5928036505753151E-2</v>
      </c>
      <c r="N395" s="7">
        <v>8.7185869304163659E-3</v>
      </c>
      <c r="O395" s="7">
        <v>0.1454212790113753</v>
      </c>
      <c r="P395" s="7">
        <v>4.5561450623348841E-2</v>
      </c>
      <c r="Q395" s="7"/>
      <c r="R395" s="13">
        <f t="shared" si="13"/>
        <v>1</v>
      </c>
      <c r="S395" s="7"/>
      <c r="T395" s="7"/>
      <c r="U395" s="7"/>
      <c r="V395" s="7"/>
      <c r="W395" s="7"/>
      <c r="X395" s="7"/>
      <c r="Y395" s="7">
        <v>1.5928036505753151E-2</v>
      </c>
      <c r="Z395" s="14">
        <f>IFERROR(IF(INDEX('All GHED Countries'!$D$5:$AB$199,MATCH($B395,'All GHED Countries'!$B$5:$B$199,0),MATCH($D395,'All GHED Countries'!$D$4:$AB$4,0))="","",INDEX('All GHED Countries'!$D$5:$AB$199,MATCH($B395,'All GHED Countries'!$B$5:$B$199,0),MATCH($D395,'All GHED Countries'!$D$4:$AB$4,0))),"")</f>
        <v>6.4638404799999993E-2</v>
      </c>
    </row>
    <row r="396" spans="1:26" x14ac:dyDescent="0.2">
      <c r="A396" s="6" t="s">
        <v>142</v>
      </c>
      <c r="B396" s="6" t="s">
        <v>143</v>
      </c>
      <c r="C396" s="6"/>
      <c r="D396" s="6" t="s">
        <v>14</v>
      </c>
      <c r="E396" s="6" t="s">
        <v>452</v>
      </c>
      <c r="F396" s="7">
        <v>0.2519329158682812</v>
      </c>
      <c r="G396" s="7">
        <v>0.22349919996839379</v>
      </c>
      <c r="H396" s="7">
        <v>4.8234991999683938E-2</v>
      </c>
      <c r="I396" s="7">
        <v>5.9000059261600457E-2</v>
      </c>
      <c r="J396" s="7">
        <v>0.1618663453370997</v>
      </c>
      <c r="K396" s="7">
        <v>8.0516761155996278E-3</v>
      </c>
      <c r="L396" s="7">
        <v>1.4807498567844661E-2</v>
      </c>
      <c r="M396" s="12">
        <f t="shared" si="12"/>
        <v>2.2648993540485551E-2</v>
      </c>
      <c r="N396" s="7">
        <v>8.2586966398672541E-3</v>
      </c>
      <c r="O396" s="7">
        <v>0.1467396242814531</v>
      </c>
      <c r="P396" s="7">
        <v>5.4959998419690653E-2</v>
      </c>
      <c r="Q396" s="7"/>
      <c r="R396" s="13">
        <f t="shared" si="13"/>
        <v>1</v>
      </c>
      <c r="S396" s="7"/>
      <c r="T396" s="7"/>
      <c r="U396" s="7"/>
      <c r="V396" s="7"/>
      <c r="W396" s="7"/>
      <c r="X396" s="7"/>
      <c r="Y396" s="7">
        <v>2.2648993540485551E-2</v>
      </c>
      <c r="Z396" s="14">
        <f>IFERROR(IF(INDEX('All GHED Countries'!$D$5:$AB$199,MATCH($B396,'All GHED Countries'!$B$5:$B$199,0),MATCH($D396,'All GHED Countries'!$D$4:$AB$4,0))="","",INDEX('All GHED Countries'!$D$5:$AB$199,MATCH($B396,'All GHED Countries'!$B$5:$B$199,0),MATCH($D396,'All GHED Countries'!$D$4:$AB$4,0))),"")</f>
        <v>6.5101442299999993E-2</v>
      </c>
    </row>
    <row r="397" spans="1:26" x14ac:dyDescent="0.2">
      <c r="A397" s="6" t="s">
        <v>142</v>
      </c>
      <c r="B397" s="6" t="s">
        <v>143</v>
      </c>
      <c r="C397" s="6"/>
      <c r="D397" s="6" t="s">
        <v>15</v>
      </c>
      <c r="E397" s="6" t="s">
        <v>452</v>
      </c>
      <c r="F397" s="7">
        <v>0.2367408735746373</v>
      </c>
      <c r="G397" s="7">
        <v>0.20267809973627329</v>
      </c>
      <c r="H397" s="7">
        <v>4.559757362985227E-2</v>
      </c>
      <c r="I397" s="7">
        <v>5.934167240214433E-2</v>
      </c>
      <c r="J397" s="7">
        <v>0.1875364386998461</v>
      </c>
      <c r="K397" s="7">
        <v>1.060730114029013E-2</v>
      </c>
      <c r="L397" s="7">
        <v>4.0495629460780896E-3</v>
      </c>
      <c r="M397" s="12">
        <f t="shared" si="12"/>
        <v>2.697042598287144E-2</v>
      </c>
      <c r="N397" s="7">
        <v>7.6844876902968347E-3</v>
      </c>
      <c r="O397" s="7">
        <v>0.15550195427193109</v>
      </c>
      <c r="P397" s="7">
        <v>6.3291609925779063E-2</v>
      </c>
      <c r="Q397" s="7"/>
      <c r="R397" s="13">
        <f t="shared" si="13"/>
        <v>1</v>
      </c>
      <c r="S397" s="7"/>
      <c r="T397" s="7"/>
      <c r="U397" s="7"/>
      <c r="V397" s="7"/>
      <c r="W397" s="7"/>
      <c r="X397" s="7"/>
      <c r="Y397" s="7">
        <v>2.697042598287144E-2</v>
      </c>
      <c r="Z397" s="14">
        <f>IFERROR(IF(INDEX('All GHED Countries'!$D$5:$AB$199,MATCH($B397,'All GHED Countries'!$B$5:$B$199,0),MATCH($D397,'All GHED Countries'!$D$4:$AB$4,0))="","",INDEX('All GHED Countries'!$D$5:$AB$199,MATCH($B397,'All GHED Countries'!$B$5:$B$199,0),MATCH($D397,'All GHED Countries'!$D$4:$AB$4,0))),"")</f>
        <v>6.6447358100000006E-2</v>
      </c>
    </row>
    <row r="398" spans="1:26" x14ac:dyDescent="0.2">
      <c r="A398" s="6" t="s">
        <v>142</v>
      </c>
      <c r="B398" s="6" t="s">
        <v>143</v>
      </c>
      <c r="C398" s="6"/>
      <c r="D398" s="6" t="s">
        <v>16</v>
      </c>
      <c r="E398" s="6" t="s">
        <v>452</v>
      </c>
      <c r="F398" s="7">
        <v>0.24269266001916329</v>
      </c>
      <c r="G398" s="7">
        <v>0.1992901930022217</v>
      </c>
      <c r="H398" s="7">
        <v>4.8272930201215078E-2</v>
      </c>
      <c r="I398" s="7">
        <v>6.2583576384867279E-2</v>
      </c>
      <c r="J398" s="7">
        <v>0.17418700578059029</v>
      </c>
      <c r="K398" s="7">
        <v>9.7646173122887554E-3</v>
      </c>
      <c r="L398" s="7">
        <v>3.6220820654291222E-3</v>
      </c>
      <c r="M398" s="12">
        <f t="shared" si="12"/>
        <v>2.6343013277457802E-2</v>
      </c>
      <c r="N398" s="7">
        <v>7.4172396365282754E-3</v>
      </c>
      <c r="O398" s="7">
        <v>0.15766915333831719</v>
      </c>
      <c r="P398" s="7">
        <v>6.8157528981921178E-2</v>
      </c>
      <c r="Q398" s="7"/>
      <c r="R398" s="13">
        <f t="shared" si="13"/>
        <v>1</v>
      </c>
      <c r="S398" s="7"/>
      <c r="T398" s="7"/>
      <c r="U398" s="7"/>
      <c r="V398" s="7"/>
      <c r="W398" s="7"/>
      <c r="X398" s="7"/>
      <c r="Y398" s="7">
        <v>2.6343013277457802E-2</v>
      </c>
      <c r="Z398" s="14">
        <f>IFERROR(IF(INDEX('All GHED Countries'!$D$5:$AB$199,MATCH($B398,'All GHED Countries'!$B$5:$B$199,0),MATCH($D398,'All GHED Countries'!$D$4:$AB$4,0))="","",INDEX('All GHED Countries'!$D$5:$AB$199,MATCH($B398,'All GHED Countries'!$B$5:$B$199,0),MATCH($D398,'All GHED Countries'!$D$4:$AB$4,0))),"")</f>
        <v>7.1827902799999996E-2</v>
      </c>
    </row>
    <row r="399" spans="1:26" x14ac:dyDescent="0.2">
      <c r="A399" s="6" t="s">
        <v>142</v>
      </c>
      <c r="B399" s="6" t="s">
        <v>143</v>
      </c>
      <c r="C399" s="6"/>
      <c r="D399" s="6" t="s">
        <v>17</v>
      </c>
      <c r="E399" s="6" t="s">
        <v>452</v>
      </c>
      <c r="F399" s="7">
        <v>0.25284142503067131</v>
      </c>
      <c r="G399" s="7">
        <v>0.18487064477058901</v>
      </c>
      <c r="H399" s="7">
        <v>4.6395678969600437E-2</v>
      </c>
      <c r="I399" s="7">
        <v>6.6612618945272442E-2</v>
      </c>
      <c r="J399" s="7">
        <v>0.14935593494936461</v>
      </c>
      <c r="K399" s="7">
        <v>9.0962184451241421E-3</v>
      </c>
      <c r="L399" s="7">
        <v>1.4625548588727329E-2</v>
      </c>
      <c r="M399" s="12">
        <f t="shared" si="12"/>
        <v>2.6463567437053571E-2</v>
      </c>
      <c r="N399" s="7">
        <v>8.3567097349919583E-3</v>
      </c>
      <c r="O399" s="7">
        <v>0.1656754288431915</v>
      </c>
      <c r="P399" s="7">
        <v>7.5706224285413778E-2</v>
      </c>
      <c r="Q399" s="7"/>
      <c r="R399" s="13">
        <f t="shared" si="13"/>
        <v>1</v>
      </c>
      <c r="S399" s="7"/>
      <c r="T399" s="7"/>
      <c r="U399" s="7"/>
      <c r="V399" s="7"/>
      <c r="W399" s="7"/>
      <c r="X399" s="7"/>
      <c r="Y399" s="7">
        <v>2.6463567437053571E-2</v>
      </c>
      <c r="Z399" s="14">
        <f>IFERROR(IF(INDEX('All GHED Countries'!$D$5:$AB$199,MATCH($B399,'All GHED Countries'!$B$5:$B$199,0),MATCH($D399,'All GHED Countries'!$D$4:$AB$4,0))="","",INDEX('All GHED Countries'!$D$5:$AB$199,MATCH($B399,'All GHED Countries'!$B$5:$B$199,0),MATCH($D399,'All GHED Countries'!$D$4:$AB$4,0))),"")</f>
        <v>6.1674323099999998E-2</v>
      </c>
    </row>
    <row r="400" spans="1:26" x14ac:dyDescent="0.2">
      <c r="A400" s="6" t="s">
        <v>142</v>
      </c>
      <c r="B400" s="6" t="s">
        <v>143</v>
      </c>
      <c r="C400" s="6"/>
      <c r="D400" s="6" t="s">
        <v>18</v>
      </c>
      <c r="E400" s="6" t="s">
        <v>452</v>
      </c>
      <c r="F400" s="7">
        <v>0.20860257129467391</v>
      </c>
      <c r="G400" s="7">
        <v>0.18267088674806711</v>
      </c>
      <c r="H400" s="7">
        <v>4.2922821913950047E-2</v>
      </c>
      <c r="I400" s="7">
        <v>6.574542843753102E-2</v>
      </c>
      <c r="J400" s="7">
        <v>0.1983040028441686</v>
      </c>
      <c r="K400" s="7">
        <v>9.9897960832658079E-3</v>
      </c>
      <c r="L400" s="7">
        <v>8.1764077134223057E-3</v>
      </c>
      <c r="M400" s="12">
        <f t="shared" si="12"/>
        <v>3.025045767567705E-2</v>
      </c>
      <c r="N400" s="7">
        <v>8.8597469336306779E-3</v>
      </c>
      <c r="O400" s="7">
        <v>0.1606926427913484</v>
      </c>
      <c r="P400" s="7">
        <v>8.378523756426505E-2</v>
      </c>
      <c r="Q400" s="7"/>
      <c r="R400" s="13">
        <f t="shared" si="13"/>
        <v>0.99999999999999989</v>
      </c>
      <c r="S400" s="7"/>
      <c r="T400" s="7"/>
      <c r="U400" s="7"/>
      <c r="V400" s="7"/>
      <c r="W400" s="7"/>
      <c r="X400" s="7"/>
      <c r="Y400" s="7">
        <v>3.025045767567705E-2</v>
      </c>
      <c r="Z400" s="14">
        <f>IFERROR(IF(INDEX('All GHED Countries'!$D$5:$AB$199,MATCH($B400,'All GHED Countries'!$B$5:$B$199,0),MATCH($D400,'All GHED Countries'!$D$4:$AB$4,0))="","",INDEX('All GHED Countries'!$D$5:$AB$199,MATCH($B400,'All GHED Countries'!$B$5:$B$199,0),MATCH($D400,'All GHED Countries'!$D$4:$AB$4,0))),"")</f>
        <v>6.2014274600000002E-2</v>
      </c>
    </row>
    <row r="401" spans="1:26" x14ac:dyDescent="0.2">
      <c r="A401" s="6" t="s">
        <v>142</v>
      </c>
      <c r="B401" s="6" t="s">
        <v>143</v>
      </c>
      <c r="C401" s="6"/>
      <c r="D401" s="6" t="s">
        <v>19</v>
      </c>
      <c r="E401" s="6" t="s">
        <v>452</v>
      </c>
      <c r="F401" s="7">
        <v>0.17071273104759549</v>
      </c>
      <c r="G401" s="7">
        <v>0.17522550374823431</v>
      </c>
      <c r="H401" s="7">
        <v>4.8289473542224418E-2</v>
      </c>
      <c r="I401" s="7">
        <v>6.7065715768698284E-2</v>
      </c>
      <c r="J401" s="7">
        <v>0.20383553306722871</v>
      </c>
      <c r="K401" s="7">
        <v>1.3774100224127899E-2</v>
      </c>
      <c r="L401" s="7">
        <v>1.2625404255732419E-2</v>
      </c>
      <c r="M401" s="12">
        <f t="shared" si="12"/>
        <v>3.1152375680234119E-2</v>
      </c>
      <c r="N401" s="7">
        <v>8.3036312605009373E-3</v>
      </c>
      <c r="O401" s="7">
        <v>0.17756228262992571</v>
      </c>
      <c r="P401" s="7">
        <v>9.1453248775497653E-2</v>
      </c>
      <c r="Q401" s="7"/>
      <c r="R401" s="13">
        <f t="shared" si="13"/>
        <v>1</v>
      </c>
      <c r="S401" s="7"/>
      <c r="T401" s="7"/>
      <c r="U401" s="7"/>
      <c r="V401" s="7"/>
      <c r="W401" s="7"/>
      <c r="X401" s="7"/>
      <c r="Y401" s="7">
        <v>3.1152375680234119E-2</v>
      </c>
      <c r="Z401" s="14">
        <f>IFERROR(IF(INDEX('All GHED Countries'!$D$5:$AB$199,MATCH($B401,'All GHED Countries'!$B$5:$B$199,0),MATCH($D401,'All GHED Countries'!$D$4:$AB$4,0))="","",INDEX('All GHED Countries'!$D$5:$AB$199,MATCH($B401,'All GHED Countries'!$B$5:$B$199,0),MATCH($D401,'All GHED Countries'!$D$4:$AB$4,0))),"")</f>
        <v>6.4671025300000004E-2</v>
      </c>
    </row>
    <row r="402" spans="1:26" x14ac:dyDescent="0.2">
      <c r="A402" s="6" t="s">
        <v>142</v>
      </c>
      <c r="B402" s="6" t="s">
        <v>143</v>
      </c>
      <c r="C402" s="6"/>
      <c r="D402" s="6" t="s">
        <v>20</v>
      </c>
      <c r="E402" s="6" t="s">
        <v>452</v>
      </c>
      <c r="F402" s="7">
        <v>0.1104948809793421</v>
      </c>
      <c r="G402" s="7">
        <v>0.1645368304421522</v>
      </c>
      <c r="H402" s="7">
        <v>4.5468440407409251E-2</v>
      </c>
      <c r="I402" s="7">
        <v>6.8246838251946607E-2</v>
      </c>
      <c r="J402" s="7">
        <v>0.22725790906718149</v>
      </c>
      <c r="K402" s="7">
        <v>1.28963166003325E-2</v>
      </c>
      <c r="L402" s="7">
        <v>8.9208367143615921E-3</v>
      </c>
      <c r="M402" s="12">
        <f t="shared" si="12"/>
        <v>4.5960995713245467E-2</v>
      </c>
      <c r="N402" s="7">
        <v>1.1617703961058681E-2</v>
      </c>
      <c r="O402" s="7">
        <v>0.19389414224794119</v>
      </c>
      <c r="P402" s="7">
        <v>0.1107051056150289</v>
      </c>
      <c r="Q402" s="7"/>
      <c r="R402" s="13">
        <f t="shared" si="13"/>
        <v>1</v>
      </c>
      <c r="S402" s="7"/>
      <c r="T402" s="7"/>
      <c r="U402" s="7"/>
      <c r="V402" s="7"/>
      <c r="W402" s="7"/>
      <c r="X402" s="7"/>
      <c r="Y402" s="7">
        <v>4.5960995713245467E-2</v>
      </c>
      <c r="Z402" s="14">
        <f>IFERROR(IF(INDEX('All GHED Countries'!$D$5:$AB$199,MATCH($B402,'All GHED Countries'!$B$5:$B$199,0),MATCH($D402,'All GHED Countries'!$D$4:$AB$4,0))="","",INDEX('All GHED Countries'!$D$5:$AB$199,MATCH($B402,'All GHED Countries'!$B$5:$B$199,0),MATCH($D402,'All GHED Countries'!$D$4:$AB$4,0))),"")</f>
        <v>7.5054044699999989E-2</v>
      </c>
    </row>
    <row r="403" spans="1:26" x14ac:dyDescent="0.2">
      <c r="A403" s="6" t="s">
        <v>142</v>
      </c>
      <c r="B403" s="6" t="s">
        <v>143</v>
      </c>
      <c r="C403" s="6"/>
      <c r="D403" s="6" t="s">
        <v>23</v>
      </c>
      <c r="E403" s="6" t="s">
        <v>452</v>
      </c>
      <c r="F403" s="7">
        <v>0.27221060957025461</v>
      </c>
      <c r="G403" s="7">
        <v>9.3668353621426004E-2</v>
      </c>
      <c r="H403" s="7">
        <v>4.0682614817914457E-2</v>
      </c>
      <c r="I403" s="7">
        <v>6.8476145234395241E-2</v>
      </c>
      <c r="J403" s="7">
        <v>0.17458931937257119</v>
      </c>
      <c r="K403" s="7">
        <v>2.5954155188745928E-3</v>
      </c>
      <c r="L403" s="7">
        <v>4.4763341896468627E-3</v>
      </c>
      <c r="M403" s="12">
        <f t="shared" si="12"/>
        <v>4.9106166686846489E-2</v>
      </c>
      <c r="N403" s="7">
        <v>1.9525867655665521E-3</v>
      </c>
      <c r="O403" s="7">
        <v>0.19831849576774721</v>
      </c>
      <c r="P403" s="7">
        <v>9.3923958454756845E-2</v>
      </c>
      <c r="Q403" s="7"/>
      <c r="R403" s="13">
        <f t="shared" si="13"/>
        <v>1</v>
      </c>
      <c r="S403" s="7">
        <v>1.0327555760156401E-4</v>
      </c>
      <c r="T403" s="7">
        <v>2.6482172862521001E-5</v>
      </c>
      <c r="U403" s="7">
        <v>1.8351502417818129E-2</v>
      </c>
      <c r="V403" s="7">
        <v>1.4521025040904649E-2</v>
      </c>
      <c r="W403" s="7">
        <v>2.4876176288729702E-4</v>
      </c>
      <c r="X403" s="7">
        <v>1.5855119734772331E-2</v>
      </c>
      <c r="Y403" s="7"/>
      <c r="Z403" s="14">
        <f>IFERROR(IF(INDEX('All GHED Countries'!$D$5:$AB$199,MATCH($B403,'All GHED Countries'!$B$5:$B$199,0),MATCH($D403,'All GHED Countries'!$D$4:$AB$4,0))="","",INDEX('All GHED Countries'!$D$5:$AB$199,MATCH($B403,'All GHED Countries'!$B$5:$B$199,0),MATCH($D403,'All GHED Countries'!$D$4:$AB$4,0))),"")</f>
        <v>7.6203293800000016E-2</v>
      </c>
    </row>
    <row r="404" spans="1:26" x14ac:dyDescent="0.2">
      <c r="A404" s="6" t="s">
        <v>142</v>
      </c>
      <c r="B404" s="6" t="s">
        <v>143</v>
      </c>
      <c r="C404" s="6"/>
      <c r="D404" s="6" t="s">
        <v>24</v>
      </c>
      <c r="E404" s="6" t="s">
        <v>452</v>
      </c>
      <c r="F404" s="7">
        <v>0.27235769209811789</v>
      </c>
      <c r="G404" s="7">
        <v>9.2821895670225321E-2</v>
      </c>
      <c r="H404" s="7">
        <v>3.3860867496587767E-2</v>
      </c>
      <c r="I404" s="7">
        <v>5.1935285823074502E-2</v>
      </c>
      <c r="J404" s="7">
        <v>0.18420504145840011</v>
      </c>
      <c r="K404" s="7">
        <v>5.9949763503052067E-3</v>
      </c>
      <c r="L404" s="7">
        <v>1.6166580502657349E-3</v>
      </c>
      <c r="M404" s="12">
        <f t="shared" si="12"/>
        <v>4.5917447348031271E-2</v>
      </c>
      <c r="N404" s="7">
        <v>1.7601010577573521E-3</v>
      </c>
      <c r="O404" s="7">
        <v>0.1875965467059876</v>
      </c>
      <c r="P404" s="7">
        <v>0.1219334879412472</v>
      </c>
      <c r="Q404" s="7"/>
      <c r="R404" s="13">
        <f t="shared" si="13"/>
        <v>1</v>
      </c>
      <c r="S404" s="7">
        <v>4.3731800898674988E-5</v>
      </c>
      <c r="T404" s="7">
        <v>3.3318226944039003E-5</v>
      </c>
      <c r="U404" s="7">
        <v>1.8706837612517131E-2</v>
      </c>
      <c r="V404" s="7">
        <v>1.0413517604702559E-2</v>
      </c>
      <c r="W404" s="7">
        <v>1.1863601265747E-4</v>
      </c>
      <c r="X404" s="7">
        <v>1.66014060903114E-2</v>
      </c>
      <c r="Y404" s="7"/>
      <c r="Z404" s="14">
        <f>IFERROR(IF(INDEX('All GHED Countries'!$D$5:$AB$199,MATCH($B404,'All GHED Countries'!$B$5:$B$199,0),MATCH($D404,'All GHED Countries'!$D$4:$AB$4,0))="","",INDEX('All GHED Countries'!$D$5:$AB$199,MATCH($B404,'All GHED Countries'!$B$5:$B$199,0),MATCH($D404,'All GHED Countries'!$D$4:$AB$4,0))),"")</f>
        <v>7.3461298899999999E-2</v>
      </c>
    </row>
    <row r="405" spans="1:26" x14ac:dyDescent="0.2">
      <c r="A405" s="6" t="s">
        <v>142</v>
      </c>
      <c r="B405" s="6" t="s">
        <v>143</v>
      </c>
      <c r="C405" s="6"/>
      <c r="D405" s="6" t="s">
        <v>25</v>
      </c>
      <c r="E405" s="6" t="s">
        <v>452</v>
      </c>
      <c r="F405" s="7">
        <v>0.27300711008835449</v>
      </c>
      <c r="G405" s="7">
        <v>0.1091232598766765</v>
      </c>
      <c r="H405" s="7">
        <v>4.5365013235081832E-2</v>
      </c>
      <c r="I405" s="7">
        <v>7.0738524331611333E-2</v>
      </c>
      <c r="J405" s="7">
        <v>0.14049259311320711</v>
      </c>
      <c r="K405" s="7">
        <v>5.4485044210727338E-3</v>
      </c>
      <c r="L405" s="7">
        <v>1.719508393125693E-3</v>
      </c>
      <c r="M405" s="12">
        <f t="shared" si="12"/>
        <v>4.7459137070282736E-2</v>
      </c>
      <c r="N405" s="7">
        <v>4.2930523833658541E-3</v>
      </c>
      <c r="O405" s="7">
        <v>0.18389679733712511</v>
      </c>
      <c r="P405" s="7">
        <v>0.1184564997500966</v>
      </c>
      <c r="Q405" s="7"/>
      <c r="R405" s="13">
        <f t="shared" si="13"/>
        <v>0.99999999999999989</v>
      </c>
      <c r="S405" s="7">
        <v>1.36761359295251E-4</v>
      </c>
      <c r="T405" s="7">
        <v>3.4459344358621997E-5</v>
      </c>
      <c r="U405" s="7">
        <v>1.700348114999703E-2</v>
      </c>
      <c r="V405" s="7">
        <v>1.095743955021105E-2</v>
      </c>
      <c r="W405" s="7">
        <v>3.39541347251763E-4</v>
      </c>
      <c r="X405" s="7">
        <v>1.8987454319169018E-2</v>
      </c>
      <c r="Y405" s="7"/>
      <c r="Z405" s="14">
        <f>IFERROR(IF(INDEX('All GHED Countries'!$D$5:$AB$199,MATCH($B405,'All GHED Countries'!$B$5:$B$199,0),MATCH($D405,'All GHED Countries'!$D$4:$AB$4,0))="","",INDEX('All GHED Countries'!$D$5:$AB$199,MATCH($B405,'All GHED Countries'!$B$5:$B$199,0),MATCH($D405,'All GHED Countries'!$D$4:$AB$4,0))),"")</f>
        <v>7.7887635200000013E-2</v>
      </c>
    </row>
    <row r="406" spans="1:26" x14ac:dyDescent="0.2">
      <c r="A406" s="6" t="s">
        <v>142</v>
      </c>
      <c r="B406" s="6" t="s">
        <v>143</v>
      </c>
      <c r="C406" s="6"/>
      <c r="D406" s="6" t="s">
        <v>26</v>
      </c>
      <c r="E406" s="6" t="s">
        <v>452</v>
      </c>
      <c r="F406" s="7">
        <v>0.27717889618485408</v>
      </c>
      <c r="G406" s="7">
        <v>9.474896160365627E-2</v>
      </c>
      <c r="H406" s="7">
        <v>4.2476918948619949E-2</v>
      </c>
      <c r="I406" s="7">
        <v>6.1187968212301977E-2</v>
      </c>
      <c r="J406" s="7">
        <v>0.16016229544502439</v>
      </c>
      <c r="K406" s="7">
        <v>6.6358575184296839E-3</v>
      </c>
      <c r="L406" s="7">
        <v>2.2842317289490689E-3</v>
      </c>
      <c r="M406" s="12">
        <f t="shared" si="12"/>
        <v>4.7246306046336825E-2</v>
      </c>
      <c r="N406" s="7">
        <v>1.6591628877739659E-3</v>
      </c>
      <c r="O406" s="7">
        <v>0.17333320220669249</v>
      </c>
      <c r="P406" s="7">
        <v>0.13308619921736131</v>
      </c>
      <c r="Q406" s="7"/>
      <c r="R406" s="13">
        <f t="shared" si="13"/>
        <v>1</v>
      </c>
      <c r="S406" s="7">
        <v>0</v>
      </c>
      <c r="T406" s="7">
        <v>0</v>
      </c>
      <c r="U406" s="7">
        <v>2.829506264834298E-3</v>
      </c>
      <c r="V406" s="7">
        <v>2.6269905496687888E-2</v>
      </c>
      <c r="W406" s="7">
        <v>2.5282343806694698E-4</v>
      </c>
      <c r="X406" s="7">
        <v>1.7894070846747691E-2</v>
      </c>
      <c r="Y406" s="7"/>
      <c r="Z406" s="14">
        <f>IFERROR(IF(INDEX('All GHED Countries'!$D$5:$AB$199,MATCH($B406,'All GHED Countries'!$B$5:$B$199,0),MATCH($D406,'All GHED Countries'!$D$4:$AB$4,0))="","",INDEX('All GHED Countries'!$D$5:$AB$199,MATCH($B406,'All GHED Countries'!$B$5:$B$199,0),MATCH($D406,'All GHED Countries'!$D$4:$AB$4,0))),"")</f>
        <v>9.0017347300000009E-2</v>
      </c>
    </row>
    <row r="407" spans="1:26" x14ac:dyDescent="0.2">
      <c r="A407" s="6" t="s">
        <v>142</v>
      </c>
      <c r="B407" s="6" t="s">
        <v>143</v>
      </c>
      <c r="C407" s="6"/>
      <c r="D407" s="6" t="s">
        <v>27</v>
      </c>
      <c r="E407" s="6" t="s">
        <v>452</v>
      </c>
      <c r="F407" s="7">
        <v>0.29989838353762399</v>
      </c>
      <c r="G407" s="7">
        <v>9.3338813372570967E-2</v>
      </c>
      <c r="H407" s="7">
        <v>4.4694764525666397E-2</v>
      </c>
      <c r="I407" s="7">
        <v>5.7153579047588547E-2</v>
      </c>
      <c r="J407" s="7">
        <v>0.1612532465747101</v>
      </c>
      <c r="K407" s="7">
        <v>5.5909082401949554E-3</v>
      </c>
      <c r="L407" s="7">
        <v>1.6119029169341841E-3</v>
      </c>
      <c r="M407" s="12">
        <f t="shared" si="12"/>
        <v>6.8901112435739792E-2</v>
      </c>
      <c r="N407" s="7">
        <v>1.090318675954164E-3</v>
      </c>
      <c r="O407" s="7">
        <v>0.1666264027220479</v>
      </c>
      <c r="P407" s="7">
        <v>9.9840567950969045E-2</v>
      </c>
      <c r="Q407" s="7"/>
      <c r="R407" s="13">
        <f t="shared" si="13"/>
        <v>1</v>
      </c>
      <c r="S407" s="7">
        <v>6.3146500681661964E-3</v>
      </c>
      <c r="T407" s="7">
        <v>0</v>
      </c>
      <c r="U407" s="7">
        <v>1.4671212309537281E-2</v>
      </c>
      <c r="V407" s="7">
        <v>3.1846743114467009E-2</v>
      </c>
      <c r="W407" s="7">
        <v>3.9879807441874998E-4</v>
      </c>
      <c r="X407" s="7">
        <v>1.5669708869150561E-2</v>
      </c>
      <c r="Y407" s="7"/>
      <c r="Z407" s="14">
        <f>IFERROR(IF(INDEX('All GHED Countries'!$D$5:$AB$199,MATCH($B407,'All GHED Countries'!$B$5:$B$199,0),MATCH($D407,'All GHED Countries'!$D$4:$AB$4,0))="","",INDEX('All GHED Countries'!$D$5:$AB$199,MATCH($B407,'All GHED Countries'!$B$5:$B$199,0),MATCH($D407,'All GHED Countries'!$D$4:$AB$4,0))),"")</f>
        <v>9.8200349799999989E-2</v>
      </c>
    </row>
    <row r="408" spans="1:26" x14ac:dyDescent="0.2">
      <c r="A408" s="6" t="s">
        <v>142</v>
      </c>
      <c r="B408" s="6" t="s">
        <v>143</v>
      </c>
      <c r="C408" s="6"/>
      <c r="D408" s="6" t="s">
        <v>28</v>
      </c>
      <c r="E408" s="6" t="s">
        <v>452</v>
      </c>
      <c r="F408" s="7">
        <v>0.31064258947762591</v>
      </c>
      <c r="G408" s="7">
        <v>9.819012226474659E-2</v>
      </c>
      <c r="H408" s="7">
        <v>4.3081283923617882E-2</v>
      </c>
      <c r="I408" s="7">
        <v>5.466491123394291E-2</v>
      </c>
      <c r="J408" s="7">
        <v>0.17165142372957251</v>
      </c>
      <c r="K408" s="7">
        <v>4.6539278422731726E-3</v>
      </c>
      <c r="L408" s="7">
        <v>2.1490008902875961E-3</v>
      </c>
      <c r="M408" s="12">
        <f t="shared" si="12"/>
        <v>5.4988327382631444E-2</v>
      </c>
      <c r="N408" s="7">
        <v>9.5030924624192798E-4</v>
      </c>
      <c r="O408" s="7">
        <v>0.14483946657794411</v>
      </c>
      <c r="P408" s="7">
        <v>0.114188637431116</v>
      </c>
      <c r="Q408" s="7"/>
      <c r="R408" s="13">
        <f t="shared" si="13"/>
        <v>1.0000000000000002</v>
      </c>
      <c r="S408" s="7">
        <v>3.2146331227593532E-3</v>
      </c>
      <c r="T408" s="7">
        <v>0</v>
      </c>
      <c r="U408" s="7">
        <v>1.442611280504532E-2</v>
      </c>
      <c r="V408" s="7">
        <v>1.6120029001360531E-2</v>
      </c>
      <c r="W408" s="7">
        <v>3.7236866701707301E-4</v>
      </c>
      <c r="X408" s="7">
        <v>2.0855183786449169E-2</v>
      </c>
      <c r="Y408" s="7"/>
      <c r="Z408" s="14">
        <f>IFERROR(IF(INDEX('All GHED Countries'!$D$5:$AB$199,MATCH($B408,'All GHED Countries'!$B$5:$B$199,0),MATCH($D408,'All GHED Countries'!$D$4:$AB$4,0))="","",INDEX('All GHED Countries'!$D$5:$AB$199,MATCH($B408,'All GHED Countries'!$B$5:$B$199,0),MATCH($D408,'All GHED Countries'!$D$4:$AB$4,0))),"")</f>
        <v>8.9760951999999991E-2</v>
      </c>
    </row>
    <row r="409" spans="1:26" x14ac:dyDescent="0.2">
      <c r="A409" s="6" t="s">
        <v>142</v>
      </c>
      <c r="B409" s="6" t="s">
        <v>143</v>
      </c>
      <c r="C409" s="6"/>
      <c r="D409" s="6" t="s">
        <v>29</v>
      </c>
      <c r="E409" s="6" t="s">
        <v>452</v>
      </c>
      <c r="F409" s="7">
        <v>0.31064258947762591</v>
      </c>
      <c r="G409" s="7">
        <v>9.819012226474659E-2</v>
      </c>
      <c r="H409" s="7">
        <v>4.3081283923617882E-2</v>
      </c>
      <c r="I409" s="7">
        <v>5.466491123394291E-2</v>
      </c>
      <c r="J409" s="7">
        <v>0.17165142372957251</v>
      </c>
      <c r="K409" s="7">
        <v>4.6539278422731726E-3</v>
      </c>
      <c r="L409" s="7">
        <v>2.1490008902875961E-3</v>
      </c>
      <c r="M409" s="12">
        <f t="shared" si="12"/>
        <v>5.4988327382631444E-2</v>
      </c>
      <c r="N409" s="7">
        <v>9.5030924624192798E-4</v>
      </c>
      <c r="O409" s="7">
        <v>0.14483946657794411</v>
      </c>
      <c r="P409" s="7">
        <v>0.114188637431116</v>
      </c>
      <c r="Q409" s="7"/>
      <c r="R409" s="13">
        <f t="shared" si="13"/>
        <v>1.0000000000000002</v>
      </c>
      <c r="S409" s="7">
        <v>3.2146331227593532E-3</v>
      </c>
      <c r="T409" s="7">
        <v>0</v>
      </c>
      <c r="U409" s="7">
        <v>1.442611280504532E-2</v>
      </c>
      <c r="V409" s="7">
        <v>1.6120029001360531E-2</v>
      </c>
      <c r="W409" s="7">
        <v>3.7236866701707301E-4</v>
      </c>
      <c r="X409" s="7">
        <v>2.0855183786449169E-2</v>
      </c>
      <c r="Y409" s="7"/>
      <c r="Z409" s="14">
        <f>IFERROR(IF(INDEX('All GHED Countries'!$D$5:$AB$199,MATCH($B409,'All GHED Countries'!$B$5:$B$199,0),MATCH($D409,'All GHED Countries'!$D$4:$AB$4,0))="","",INDEX('All GHED Countries'!$D$5:$AB$199,MATCH($B409,'All GHED Countries'!$B$5:$B$199,0),MATCH($D409,'All GHED Countries'!$D$4:$AB$4,0))),"")</f>
        <v>8.7699451400000003E-2</v>
      </c>
    </row>
    <row r="410" spans="1:26" x14ac:dyDescent="0.2">
      <c r="A410" s="6" t="s">
        <v>142</v>
      </c>
      <c r="B410" s="6" t="s">
        <v>143</v>
      </c>
      <c r="C410" s="6"/>
      <c r="D410" s="6" t="s">
        <v>30</v>
      </c>
      <c r="E410" s="6" t="s">
        <v>452</v>
      </c>
      <c r="F410" s="7">
        <v>0.23593710682683389</v>
      </c>
      <c r="G410" s="7">
        <v>0.12899468161602759</v>
      </c>
      <c r="H410" s="7">
        <v>4.0270564820793733E-2</v>
      </c>
      <c r="I410" s="7">
        <v>5.2468491646414241E-2</v>
      </c>
      <c r="J410" s="7">
        <v>0.18664585572140729</v>
      </c>
      <c r="K410" s="7">
        <v>3.2377400949302219E-3</v>
      </c>
      <c r="L410" s="7">
        <v>1.487477859782651E-3</v>
      </c>
      <c r="M410" s="12">
        <f t="shared" si="12"/>
        <v>5.7830137869695784E-2</v>
      </c>
      <c r="N410" s="7">
        <v>1.1993445093021441E-3</v>
      </c>
      <c r="O410" s="7">
        <v>0.15118568141171479</v>
      </c>
      <c r="P410" s="7">
        <v>0.1407429176230976</v>
      </c>
      <c r="Q410" s="7"/>
      <c r="R410" s="13">
        <f t="shared" si="13"/>
        <v>1</v>
      </c>
      <c r="S410" s="7">
        <v>2.7248458317581758E-3</v>
      </c>
      <c r="T410" s="7">
        <v>0</v>
      </c>
      <c r="U410" s="7">
        <v>1.6617943119941719E-2</v>
      </c>
      <c r="V410" s="7">
        <v>1.9783692125543671E-2</v>
      </c>
      <c r="W410" s="7">
        <v>2.7495188342040102E-4</v>
      </c>
      <c r="X410" s="7">
        <v>1.8428704909031819E-2</v>
      </c>
      <c r="Y410" s="7"/>
      <c r="Z410" s="14" t="str">
        <f>IFERROR(IF(INDEX('All GHED Countries'!$D$5:$AB$199,MATCH($B410,'All GHED Countries'!$B$5:$B$199,0),MATCH($D410,'All GHED Countries'!$D$4:$AB$4,0))="","",INDEX('All GHED Countries'!$D$5:$AB$199,MATCH($B410,'All GHED Countries'!$B$5:$B$199,0),MATCH($D410,'All GHED Countries'!$D$4:$AB$4,0))),"")</f>
        <v/>
      </c>
    </row>
    <row r="411" spans="1:26" x14ac:dyDescent="0.2">
      <c r="A411" s="6" t="s">
        <v>144</v>
      </c>
      <c r="B411" s="6" t="s">
        <v>145</v>
      </c>
      <c r="C411" s="6"/>
      <c r="D411" s="6" t="s">
        <v>11</v>
      </c>
      <c r="E411" s="6" t="s">
        <v>453</v>
      </c>
      <c r="F411" s="7">
        <v>9.0400445892642706E-2</v>
      </c>
      <c r="G411" s="7">
        <v>3.4835362716515182E-2</v>
      </c>
      <c r="H411" s="7">
        <v>1.119019036185903E-2</v>
      </c>
      <c r="I411" s="7">
        <v>6.2174869947979189E-2</v>
      </c>
      <c r="J411" s="7">
        <v>0.109336591779569</v>
      </c>
      <c r="K411" s="7">
        <v>3.872977762533585E-3</v>
      </c>
      <c r="L411" s="7">
        <v>5.2420968387354938E-2</v>
      </c>
      <c r="M411" s="12">
        <f t="shared" si="12"/>
        <v>0.11218773223575149</v>
      </c>
      <c r="N411" s="7">
        <v>2.2787686503172699E-2</v>
      </c>
      <c r="O411" s="7">
        <v>0.19534956839878809</v>
      </c>
      <c r="P411" s="7">
        <v>0.30544360601383408</v>
      </c>
      <c r="Q411" s="7"/>
      <c r="R411" s="13">
        <f t="shared" si="13"/>
        <v>1</v>
      </c>
      <c r="S411" s="7">
        <v>0</v>
      </c>
      <c r="T411" s="7">
        <v>3.2870290973532201E-4</v>
      </c>
      <c r="U411" s="7">
        <v>6.3025210084033624E-3</v>
      </c>
      <c r="V411" s="7">
        <v>0.1055565083176128</v>
      </c>
      <c r="W411" s="7">
        <v>0</v>
      </c>
      <c r="X411" s="7">
        <v>0</v>
      </c>
      <c r="Y411" s="7"/>
      <c r="Z411" s="14">
        <f>IFERROR(IF(INDEX('All GHED Countries'!$D$5:$AB$199,MATCH($B411,'All GHED Countries'!$B$5:$B$199,0),MATCH($D411,'All GHED Countries'!$D$4:$AB$4,0))="","",INDEX('All GHED Countries'!$D$5:$AB$199,MATCH($B411,'All GHED Countries'!$B$5:$B$199,0),MATCH($D411,'All GHED Countries'!$D$4:$AB$4,0))),"")</f>
        <v>0.13576660160000001</v>
      </c>
    </row>
    <row r="412" spans="1:26" x14ac:dyDescent="0.2">
      <c r="A412" s="6" t="s">
        <v>144</v>
      </c>
      <c r="B412" s="6" t="s">
        <v>145</v>
      </c>
      <c r="C412" s="6"/>
      <c r="D412" s="6" t="s">
        <v>12</v>
      </c>
      <c r="E412" s="6" t="s">
        <v>453</v>
      </c>
      <c r="F412" s="7">
        <v>2.1761284962614289E-2</v>
      </c>
      <c r="G412" s="7">
        <v>2.5173082248684569E-2</v>
      </c>
      <c r="H412" s="7">
        <v>1.196344502907782E-2</v>
      </c>
      <c r="I412" s="7">
        <v>6.528939351980062E-2</v>
      </c>
      <c r="J412" s="7">
        <v>8.952644696759901E-2</v>
      </c>
      <c r="K412" s="7">
        <v>6.0149543062863473E-3</v>
      </c>
      <c r="L412" s="7">
        <v>5.6023262254223223E-2</v>
      </c>
      <c r="M412" s="12">
        <f t="shared" si="12"/>
        <v>0.17243976737745775</v>
      </c>
      <c r="N412" s="7">
        <v>2.696206037108834E-2</v>
      </c>
      <c r="O412" s="7">
        <v>0.19971199113818891</v>
      </c>
      <c r="P412" s="7">
        <v>0.32513431182497921</v>
      </c>
      <c r="Q412" s="7"/>
      <c r="R412" s="13">
        <f t="shared" si="13"/>
        <v>1</v>
      </c>
      <c r="S412" s="7">
        <v>0</v>
      </c>
      <c r="T412" s="7">
        <v>6.0371088341179698E-4</v>
      </c>
      <c r="U412" s="7">
        <v>5.4278593187482693E-3</v>
      </c>
      <c r="V412" s="7">
        <v>0.1664081971752977</v>
      </c>
      <c r="W412" s="7">
        <v>0</v>
      </c>
      <c r="X412" s="7">
        <v>0</v>
      </c>
      <c r="Y412" s="7"/>
      <c r="Z412" s="14">
        <f>IFERROR(IF(INDEX('All GHED Countries'!$D$5:$AB$199,MATCH($B412,'All GHED Countries'!$B$5:$B$199,0),MATCH($D412,'All GHED Countries'!$D$4:$AB$4,0))="","",INDEX('All GHED Countries'!$D$5:$AB$199,MATCH($B412,'All GHED Countries'!$B$5:$B$199,0),MATCH($D412,'All GHED Countries'!$D$4:$AB$4,0))),"")</f>
        <v>0.12890508649999999</v>
      </c>
    </row>
    <row r="413" spans="1:26" x14ac:dyDescent="0.2">
      <c r="A413" s="6" t="s">
        <v>144</v>
      </c>
      <c r="B413" s="6" t="s">
        <v>145</v>
      </c>
      <c r="C413" s="6"/>
      <c r="D413" s="6" t="s">
        <v>13</v>
      </c>
      <c r="E413" s="6" t="s">
        <v>453</v>
      </c>
      <c r="F413" s="7">
        <v>9.6124287322836011E-2</v>
      </c>
      <c r="G413" s="7">
        <v>2.833729513324159E-2</v>
      </c>
      <c r="H413" s="7">
        <v>1.23277510678987E-2</v>
      </c>
      <c r="I413" s="7">
        <v>5.6714804024950403E-2</v>
      </c>
      <c r="J413" s="7">
        <v>0.13362138299583559</v>
      </c>
      <c r="K413" s="7">
        <v>5.8265267823631398E-3</v>
      </c>
      <c r="L413" s="7">
        <v>3.376168433093242E-2</v>
      </c>
      <c r="M413" s="12">
        <f t="shared" si="12"/>
        <v>0.1174509838966238</v>
      </c>
      <c r="N413" s="7">
        <v>2.5334667834355059E-2</v>
      </c>
      <c r="O413" s="7">
        <v>0.19073832460545831</v>
      </c>
      <c r="P413" s="7">
        <v>0.2997622920055048</v>
      </c>
      <c r="Q413" s="7"/>
      <c r="R413" s="13">
        <f t="shared" si="13"/>
        <v>0.99999999999999978</v>
      </c>
      <c r="S413" s="7">
        <v>0</v>
      </c>
      <c r="T413" s="7">
        <v>5.4958803238547998E-4</v>
      </c>
      <c r="U413" s="7">
        <v>3.5343425497310148E-3</v>
      </c>
      <c r="V413" s="7">
        <v>0.1133670533145073</v>
      </c>
      <c r="W413" s="7">
        <v>0</v>
      </c>
      <c r="X413" s="7">
        <v>0</v>
      </c>
      <c r="Y413" s="7"/>
      <c r="Z413" s="14">
        <f>IFERROR(IF(INDEX('All GHED Countries'!$D$5:$AB$199,MATCH($B413,'All GHED Countries'!$B$5:$B$199,0),MATCH($D413,'All GHED Countries'!$D$4:$AB$4,0))="","",INDEX('All GHED Countries'!$D$5:$AB$199,MATCH($B413,'All GHED Countries'!$B$5:$B$199,0),MATCH($D413,'All GHED Countries'!$D$4:$AB$4,0))),"")</f>
        <v>0.13181109429999999</v>
      </c>
    </row>
    <row r="414" spans="1:26" x14ac:dyDescent="0.2">
      <c r="A414" s="6" t="s">
        <v>144</v>
      </c>
      <c r="B414" s="6" t="s">
        <v>145</v>
      </c>
      <c r="C414" s="6"/>
      <c r="D414" s="6" t="s">
        <v>14</v>
      </c>
      <c r="E414" s="6" t="s">
        <v>453</v>
      </c>
      <c r="F414" s="7">
        <v>0.1090419607813016</v>
      </c>
      <c r="G414" s="7">
        <v>2.8119791386633688E-2</v>
      </c>
      <c r="H414" s="7">
        <v>1.470509167159525E-2</v>
      </c>
      <c r="I414" s="7">
        <v>5.3040486047636969E-2</v>
      </c>
      <c r="J414" s="7">
        <v>0.1100059142964676</v>
      </c>
      <c r="K414" s="7">
        <v>3.606184664306069E-3</v>
      </c>
      <c r="L414" s="7">
        <v>2.4137242401665222E-2</v>
      </c>
      <c r="M414" s="12">
        <f t="shared" si="12"/>
        <v>0.1302258954014425</v>
      </c>
      <c r="N414" s="7">
        <v>2.4624979837625679E-2</v>
      </c>
      <c r="O414" s="7">
        <v>0.19932715276550969</v>
      </c>
      <c r="P414" s="7">
        <v>0.30316530074581582</v>
      </c>
      <c r="Q414" s="7"/>
      <c r="R414" s="13">
        <f t="shared" si="13"/>
        <v>1</v>
      </c>
      <c r="S414" s="7">
        <v>0</v>
      </c>
      <c r="T414" s="7">
        <v>5.4150376748365804E-4</v>
      </c>
      <c r="U414" s="7">
        <v>4.6661494857634439E-3</v>
      </c>
      <c r="V414" s="7">
        <v>0.1250182421481954</v>
      </c>
      <c r="W414" s="7">
        <v>0</v>
      </c>
      <c r="X414" s="7">
        <v>0</v>
      </c>
      <c r="Y414" s="7"/>
      <c r="Z414" s="14">
        <f>IFERROR(IF(INDEX('All GHED Countries'!$D$5:$AB$199,MATCH($B414,'All GHED Countries'!$B$5:$B$199,0),MATCH($D414,'All GHED Countries'!$D$4:$AB$4,0))="","",INDEX('All GHED Countries'!$D$5:$AB$199,MATCH($B414,'All GHED Countries'!$B$5:$B$199,0),MATCH($D414,'All GHED Countries'!$D$4:$AB$4,0))),"")</f>
        <v>0.12721592900000001</v>
      </c>
    </row>
    <row r="415" spans="1:26" x14ac:dyDescent="0.2">
      <c r="A415" s="6" t="s">
        <v>144</v>
      </c>
      <c r="B415" s="6" t="s">
        <v>145</v>
      </c>
      <c r="C415" s="6"/>
      <c r="D415" s="6" t="s">
        <v>15</v>
      </c>
      <c r="E415" s="6" t="s">
        <v>453</v>
      </c>
      <c r="F415" s="7">
        <v>0.1016834942852016</v>
      </c>
      <c r="G415" s="7">
        <v>3.0806077718328741E-2</v>
      </c>
      <c r="H415" s="7">
        <v>9.1260991053346667E-3</v>
      </c>
      <c r="I415" s="7">
        <v>5.5741715281821411E-2</v>
      </c>
      <c r="J415" s="7">
        <v>7.5543006558925957E-2</v>
      </c>
      <c r="K415" s="7">
        <v>4.6143197723602248E-3</v>
      </c>
      <c r="L415" s="7">
        <v>1.9750021057411658E-2</v>
      </c>
      <c r="M415" s="12">
        <f t="shared" si="12"/>
        <v>0.14087591508186759</v>
      </c>
      <c r="N415" s="7">
        <v>2.1441938307277079E-2</v>
      </c>
      <c r="O415" s="7">
        <v>0.20749790341423041</v>
      </c>
      <c r="P415" s="7">
        <v>0.33291950941724069</v>
      </c>
      <c r="Q415" s="7"/>
      <c r="R415" s="13">
        <f t="shared" si="13"/>
        <v>0.99999999999999989</v>
      </c>
      <c r="S415" s="7">
        <v>0</v>
      </c>
      <c r="T415" s="7">
        <v>2.4536462281597997E-4</v>
      </c>
      <c r="U415" s="7">
        <v>9.9610712546188912E-4</v>
      </c>
      <c r="V415" s="7">
        <v>0.13963444333358971</v>
      </c>
      <c r="W415" s="7">
        <v>0</v>
      </c>
      <c r="X415" s="7">
        <v>0</v>
      </c>
      <c r="Y415" s="7"/>
      <c r="Z415" s="14">
        <f>IFERROR(IF(INDEX('All GHED Countries'!$D$5:$AB$199,MATCH($B415,'All GHED Countries'!$B$5:$B$199,0),MATCH($D415,'All GHED Countries'!$D$4:$AB$4,0))="","",INDEX('All GHED Countries'!$D$5:$AB$199,MATCH($B415,'All GHED Countries'!$B$5:$B$199,0),MATCH($D415,'All GHED Countries'!$D$4:$AB$4,0))),"")</f>
        <v>0.1287592316</v>
      </c>
    </row>
    <row r="416" spans="1:26" x14ac:dyDescent="0.2">
      <c r="A416" s="6" t="s">
        <v>144</v>
      </c>
      <c r="B416" s="6" t="s">
        <v>145</v>
      </c>
      <c r="C416" s="6"/>
      <c r="D416" s="6" t="s">
        <v>16</v>
      </c>
      <c r="E416" s="6" t="s">
        <v>453</v>
      </c>
      <c r="F416" s="7">
        <v>8.3250709542451548E-2</v>
      </c>
      <c r="G416" s="7">
        <v>1.8892738987185648E-2</v>
      </c>
      <c r="H416" s="7">
        <v>8.088613589824838E-3</v>
      </c>
      <c r="I416" s="7">
        <v>4.4603218409602761E-2</v>
      </c>
      <c r="J416" s="7">
        <v>8.0732813399704936E-2</v>
      </c>
      <c r="K416" s="7">
        <v>4.3475446253649934E-3</v>
      </c>
      <c r="L416" s="7">
        <v>2.8500948895907648E-2</v>
      </c>
      <c r="M416" s="12">
        <f t="shared" si="12"/>
        <v>0.13623215070579459</v>
      </c>
      <c r="N416" s="7">
        <v>2.0323748973591051E-2</v>
      </c>
      <c r="O416" s="7">
        <v>0.22435170136865881</v>
      </c>
      <c r="P416" s="7">
        <v>0.35067581150191313</v>
      </c>
      <c r="Q416" s="7"/>
      <c r="R416" s="13">
        <f t="shared" si="13"/>
        <v>1</v>
      </c>
      <c r="S416" s="7"/>
      <c r="T416" s="7">
        <v>1.2265799883474899E-4</v>
      </c>
      <c r="U416" s="7">
        <v>8.62013158477541E-4</v>
      </c>
      <c r="V416" s="7">
        <v>2.0504328805208881E-2</v>
      </c>
      <c r="W416" s="7"/>
      <c r="X416" s="7"/>
      <c r="Y416" s="7">
        <v>0.1147431507432734</v>
      </c>
      <c r="Z416" s="14">
        <f>IFERROR(IF(INDEX('All GHED Countries'!$D$5:$AB$199,MATCH($B416,'All GHED Countries'!$B$5:$B$199,0),MATCH($D416,'All GHED Countries'!$D$4:$AB$4,0))="","",INDEX('All GHED Countries'!$D$5:$AB$199,MATCH($B416,'All GHED Countries'!$B$5:$B$199,0),MATCH($D416,'All GHED Countries'!$D$4:$AB$4,0))),"")</f>
        <v>0.13626919749999999</v>
      </c>
    </row>
    <row r="417" spans="1:26" x14ac:dyDescent="0.2">
      <c r="A417" s="6" t="s">
        <v>144</v>
      </c>
      <c r="B417" s="6" t="s">
        <v>145</v>
      </c>
      <c r="C417" s="6"/>
      <c r="D417" s="6" t="s">
        <v>17</v>
      </c>
      <c r="E417" s="6" t="s">
        <v>453</v>
      </c>
      <c r="F417" s="7">
        <v>7.7891772153870595E-2</v>
      </c>
      <c r="G417" s="7">
        <v>2.0976972997560531E-2</v>
      </c>
      <c r="H417" s="7">
        <v>8.3963971822999597E-3</v>
      </c>
      <c r="I417" s="7">
        <v>5.8777895822364007E-2</v>
      </c>
      <c r="J417" s="7">
        <v>8.7970564318894856E-2</v>
      </c>
      <c r="K417" s="7">
        <v>6.8697795127908743E-3</v>
      </c>
      <c r="L417" s="7">
        <v>2.424829657507999E-2</v>
      </c>
      <c r="M417" s="12">
        <f t="shared" si="12"/>
        <v>0.13275654186826841</v>
      </c>
      <c r="N417" s="7">
        <v>2.3397752444924931E-2</v>
      </c>
      <c r="O417" s="7">
        <v>0.2140068728950591</v>
      </c>
      <c r="P417" s="7">
        <v>0.34475388742285129</v>
      </c>
      <c r="Q417" s="7"/>
      <c r="R417" s="13">
        <f t="shared" si="13"/>
        <v>1.0000467331939644</v>
      </c>
      <c r="S417" s="7">
        <v>0</v>
      </c>
      <c r="T417" s="7">
        <v>1.2462185057216999E-4</v>
      </c>
      <c r="U417" s="7">
        <v>4.0813656062385699E-4</v>
      </c>
      <c r="V417" s="7">
        <v>0.13222378345707239</v>
      </c>
      <c r="W417" s="7">
        <v>0</v>
      </c>
      <c r="X417" s="7">
        <v>0</v>
      </c>
      <c r="Y417" s="7"/>
      <c r="Z417" s="14">
        <f>IFERROR(IF(INDEX('All GHED Countries'!$D$5:$AB$199,MATCH($B417,'All GHED Countries'!$B$5:$B$199,0),MATCH($D417,'All GHED Countries'!$D$4:$AB$4,0))="","",INDEX('All GHED Countries'!$D$5:$AB$199,MATCH($B417,'All GHED Countries'!$B$5:$B$199,0),MATCH($D417,'All GHED Countries'!$D$4:$AB$4,0))),"")</f>
        <v>0.13036990170000001</v>
      </c>
    </row>
    <row r="418" spans="1:26" x14ac:dyDescent="0.2">
      <c r="A418" s="6" t="s">
        <v>144</v>
      </c>
      <c r="B418" s="6" t="s">
        <v>145</v>
      </c>
      <c r="C418" s="6"/>
      <c r="D418" s="6" t="s">
        <v>18</v>
      </c>
      <c r="E418" s="6" t="s">
        <v>453</v>
      </c>
      <c r="F418" s="7">
        <v>8.2770894383695739E-2</v>
      </c>
      <c r="G418" s="7">
        <v>1.9466545576592761E-2</v>
      </c>
      <c r="H418" s="7">
        <v>8.1510166207408117E-3</v>
      </c>
      <c r="I418" s="7">
        <v>5.679481719441444E-2</v>
      </c>
      <c r="J418" s="7">
        <v>0.10716189498444539</v>
      </c>
      <c r="K418" s="7">
        <v>8.2102454612375444E-3</v>
      </c>
      <c r="L418" s="7">
        <v>2.288207537857101E-2</v>
      </c>
      <c r="M418" s="12">
        <f t="shared" si="12"/>
        <v>0.1339643555197049</v>
      </c>
      <c r="N418" s="7">
        <v>2.403280713679324E-2</v>
      </c>
      <c r="O418" s="7">
        <v>0.20843475097092989</v>
      </c>
      <c r="P418" s="7">
        <v>0.32813059677287432</v>
      </c>
      <c r="Q418" s="7"/>
      <c r="R418" s="13">
        <f t="shared" si="13"/>
        <v>1</v>
      </c>
      <c r="S418" s="7">
        <v>0</v>
      </c>
      <c r="T418" s="7">
        <v>1.18457680993465E-4</v>
      </c>
      <c r="U418" s="7">
        <v>3.9767935762091803E-4</v>
      </c>
      <c r="V418" s="7">
        <v>0.13344821848109051</v>
      </c>
      <c r="W418" s="7">
        <v>0</v>
      </c>
      <c r="X418" s="7">
        <v>0</v>
      </c>
      <c r="Y418" s="7"/>
      <c r="Z418" s="14">
        <f>IFERROR(IF(INDEX('All GHED Countries'!$D$5:$AB$199,MATCH($B418,'All GHED Countries'!$B$5:$B$199,0),MATCH($D418,'All GHED Countries'!$D$4:$AB$4,0))="","",INDEX('All GHED Countries'!$D$5:$AB$199,MATCH($B418,'All GHED Countries'!$B$5:$B$199,0),MATCH($D418,'All GHED Countries'!$D$4:$AB$4,0))),"")</f>
        <v>0.1317397022</v>
      </c>
    </row>
    <row r="419" spans="1:26" x14ac:dyDescent="0.2">
      <c r="A419" s="6" t="s">
        <v>144</v>
      </c>
      <c r="B419" s="6" t="s">
        <v>145</v>
      </c>
      <c r="C419" s="6"/>
      <c r="D419" s="6" t="s">
        <v>19</v>
      </c>
      <c r="E419" s="6" t="s">
        <v>453</v>
      </c>
      <c r="F419" s="7">
        <v>8.3307082547961459E-2</v>
      </c>
      <c r="G419" s="7">
        <v>1.360479227452297E-2</v>
      </c>
      <c r="H419" s="7">
        <v>8.6808334839525939E-3</v>
      </c>
      <c r="I419" s="7">
        <v>6.306385395956518E-2</v>
      </c>
      <c r="J419" s="7">
        <v>0.11945570502724059</v>
      </c>
      <c r="K419" s="7">
        <v>1.0088047716181671E-2</v>
      </c>
      <c r="L419" s="7">
        <v>3.0271889281933431E-2</v>
      </c>
      <c r="M419" s="12">
        <f t="shared" si="12"/>
        <v>0.13496088202638845</v>
      </c>
      <c r="N419" s="7">
        <v>2.6342017609543241E-2</v>
      </c>
      <c r="O419" s="7">
        <v>0.18239820289705391</v>
      </c>
      <c r="P419" s="7">
        <v>0.32782669317565649</v>
      </c>
      <c r="Q419" s="7"/>
      <c r="R419" s="13">
        <f t="shared" si="13"/>
        <v>1</v>
      </c>
      <c r="S419" s="7">
        <v>0</v>
      </c>
      <c r="T419" s="7">
        <v>1.26520178677476E-4</v>
      </c>
      <c r="U419" s="7">
        <v>2.323840016525E-5</v>
      </c>
      <c r="V419" s="7">
        <v>0.1344806217563066</v>
      </c>
      <c r="W419" s="7">
        <v>0</v>
      </c>
      <c r="X419" s="7">
        <v>3.3050169123912299E-4</v>
      </c>
      <c r="Y419" s="7"/>
      <c r="Z419" s="14">
        <f>IFERROR(IF(INDEX('All GHED Countries'!$D$5:$AB$199,MATCH($B419,'All GHED Countries'!$B$5:$B$199,0),MATCH($D419,'All GHED Countries'!$D$4:$AB$4,0))="","",INDEX('All GHED Countries'!$D$5:$AB$199,MATCH($B419,'All GHED Countries'!$B$5:$B$199,0),MATCH($D419,'All GHED Countries'!$D$4:$AB$4,0))),"")</f>
        <v>0.1249917507</v>
      </c>
    </row>
    <row r="420" spans="1:26" x14ac:dyDescent="0.2">
      <c r="A420" s="6" t="s">
        <v>144</v>
      </c>
      <c r="B420" s="6" t="s">
        <v>145</v>
      </c>
      <c r="C420" s="6"/>
      <c r="D420" s="6" t="s">
        <v>20</v>
      </c>
      <c r="E420" s="6" t="s">
        <v>453</v>
      </c>
      <c r="F420" s="7">
        <v>7.5384103488743304E-2</v>
      </c>
      <c r="G420" s="7">
        <v>1.402871389966772E-2</v>
      </c>
      <c r="H420" s="7">
        <v>9.2018471139967903E-3</v>
      </c>
      <c r="I420" s="7">
        <v>6.30864969132333E-2</v>
      </c>
      <c r="J420" s="7">
        <v>0.1386639448563631</v>
      </c>
      <c r="K420" s="7">
        <v>1.301253141847384E-2</v>
      </c>
      <c r="L420" s="7">
        <v>3.3662168785212297E-2</v>
      </c>
      <c r="M420" s="12">
        <f t="shared" si="12"/>
        <v>0.13242521391540507</v>
      </c>
      <c r="N420" s="7">
        <v>2.6638819070058141E-2</v>
      </c>
      <c r="O420" s="7">
        <v>0.1758894968997442</v>
      </c>
      <c r="P420" s="7">
        <v>0.31800666363910229</v>
      </c>
      <c r="Q420" s="7"/>
      <c r="R420" s="13">
        <f t="shared" si="13"/>
        <v>1</v>
      </c>
      <c r="S420" s="7">
        <v>0</v>
      </c>
      <c r="T420" s="7">
        <v>4.6000242804663652E-2</v>
      </c>
      <c r="U420" s="7">
        <v>4.9493932131600131E-2</v>
      </c>
      <c r="V420" s="7">
        <v>2.6697272044640091E-2</v>
      </c>
      <c r="W420" s="7">
        <v>0</v>
      </c>
      <c r="X420" s="7">
        <v>1.023376693450119E-2</v>
      </c>
      <c r="Y420" s="7"/>
      <c r="Z420" s="14">
        <f>IFERROR(IF(INDEX('All GHED Countries'!$D$5:$AB$199,MATCH($B420,'All GHED Countries'!$B$5:$B$199,0),MATCH($D420,'All GHED Countries'!$D$4:$AB$4,0))="","",INDEX('All GHED Countries'!$D$5:$AB$199,MATCH($B420,'All GHED Countries'!$B$5:$B$199,0),MATCH($D420,'All GHED Countries'!$D$4:$AB$4,0))),"")</f>
        <v>0.1275728226</v>
      </c>
    </row>
    <row r="421" spans="1:26" x14ac:dyDescent="0.2">
      <c r="A421" s="6" t="s">
        <v>144</v>
      </c>
      <c r="B421" s="6" t="s">
        <v>145</v>
      </c>
      <c r="C421" s="6"/>
      <c r="D421" s="6" t="s">
        <v>21</v>
      </c>
      <c r="E421" s="6" t="s">
        <v>453</v>
      </c>
      <c r="F421" s="7">
        <v>7.4653900614738686E-2</v>
      </c>
      <c r="G421" s="7">
        <v>2.3618342031925161E-2</v>
      </c>
      <c r="H421" s="7">
        <v>9.8732061168755551E-3</v>
      </c>
      <c r="I421" s="7">
        <v>6.4529298389990566E-2</v>
      </c>
      <c r="J421" s="7">
        <v>0.11317981697503871</v>
      </c>
      <c r="K421" s="7">
        <v>9.6690810720217631E-3</v>
      </c>
      <c r="L421" s="7">
        <v>2.224962988906341E-2</v>
      </c>
      <c r="M421" s="12">
        <f t="shared" si="12"/>
        <v>0.13871693442858954</v>
      </c>
      <c r="N421" s="7">
        <v>2.3987915797344661E-2</v>
      </c>
      <c r="O421" s="7">
        <v>0.18182169784766261</v>
      </c>
      <c r="P421" s="7">
        <v>0.33770017683674941</v>
      </c>
      <c r="Q421" s="7"/>
      <c r="R421" s="13">
        <f t="shared" si="13"/>
        <v>1</v>
      </c>
      <c r="S421" s="7">
        <v>0</v>
      </c>
      <c r="T421" s="7">
        <v>4.9838741214565503E-2</v>
      </c>
      <c r="U421" s="7">
        <v>5.1708096888489707E-2</v>
      </c>
      <c r="V421" s="7">
        <v>2.7683653451539642E-2</v>
      </c>
      <c r="W421" s="7">
        <v>0</v>
      </c>
      <c r="X421" s="7">
        <v>9.4864428739946834E-3</v>
      </c>
      <c r="Y421" s="7"/>
      <c r="Z421" s="14">
        <f>IFERROR(IF(INDEX('All GHED Countries'!$D$5:$AB$199,MATCH($B421,'All GHED Countries'!$B$5:$B$199,0),MATCH($D421,'All GHED Countries'!$D$4:$AB$4,0))="","",INDEX('All GHED Countries'!$D$5:$AB$199,MATCH($B421,'All GHED Countries'!$B$5:$B$199,0),MATCH($D421,'All GHED Countries'!$D$4:$AB$4,0))),"")</f>
        <v>0.1221473503</v>
      </c>
    </row>
    <row r="422" spans="1:26" x14ac:dyDescent="0.2">
      <c r="A422" s="6" t="s">
        <v>144</v>
      </c>
      <c r="B422" s="6" t="s">
        <v>145</v>
      </c>
      <c r="C422" s="6"/>
      <c r="D422" s="6" t="s">
        <v>22</v>
      </c>
      <c r="E422" s="6" t="s">
        <v>453</v>
      </c>
      <c r="F422" s="7">
        <v>6.8628179255755969E-2</v>
      </c>
      <c r="G422" s="7">
        <v>3.7385530285209627E-2</v>
      </c>
      <c r="H422" s="7">
        <v>1.131594260316203E-2</v>
      </c>
      <c r="I422" s="7">
        <v>6.9117216162566594E-2</v>
      </c>
      <c r="J422" s="7">
        <v>9.4926809539727514E-2</v>
      </c>
      <c r="K422" s="7">
        <v>3.5615092875743359E-3</v>
      </c>
      <c r="L422" s="7">
        <v>2.3622339701130361E-2</v>
      </c>
      <c r="M422" s="12">
        <f t="shared" si="12"/>
        <v>0.13423753574921693</v>
      </c>
      <c r="N422" s="7">
        <v>2.429089648512461E-2</v>
      </c>
      <c r="O422" s="7">
        <v>0.17660422676455659</v>
      </c>
      <c r="P422" s="7">
        <v>0.3563098141659754</v>
      </c>
      <c r="Q422" s="7"/>
      <c r="R422" s="13">
        <f t="shared" si="13"/>
        <v>1</v>
      </c>
      <c r="S422" s="7">
        <v>7.1601606187038998E-4</v>
      </c>
      <c r="T422" s="7">
        <v>5.3214231180332881E-2</v>
      </c>
      <c r="U422" s="7">
        <v>6.0995489305154901E-2</v>
      </c>
      <c r="V422" s="7">
        <v>1.384366501178228E-2</v>
      </c>
      <c r="W422" s="7">
        <v>7.0776227441367106E-4</v>
      </c>
      <c r="X422" s="7">
        <v>4.7603719156628001E-3</v>
      </c>
      <c r="Y422" s="7"/>
      <c r="Z422" s="14">
        <f>IFERROR(IF(INDEX('All GHED Countries'!$D$5:$AB$199,MATCH($B422,'All GHED Countries'!$B$5:$B$199,0),MATCH($D422,'All GHED Countries'!$D$4:$AB$4,0))="","",INDEX('All GHED Countries'!$D$5:$AB$199,MATCH($B422,'All GHED Countries'!$B$5:$B$199,0),MATCH($D422,'All GHED Countries'!$D$4:$AB$4,0))),"")</f>
        <v>0.12208033560000001</v>
      </c>
    </row>
    <row r="423" spans="1:26" x14ac:dyDescent="0.2">
      <c r="A423" s="6" t="s">
        <v>144</v>
      </c>
      <c r="B423" s="6" t="s">
        <v>145</v>
      </c>
      <c r="C423" s="6"/>
      <c r="D423" s="6" t="s">
        <v>23</v>
      </c>
      <c r="E423" s="6" t="s">
        <v>453</v>
      </c>
      <c r="F423" s="7">
        <v>6.8227003947001597E-2</v>
      </c>
      <c r="G423" s="7">
        <v>3.5933854709257113E-2</v>
      </c>
      <c r="H423" s="7">
        <v>1.04232388889704E-2</v>
      </c>
      <c r="I423" s="7">
        <v>7.4125497043417019E-2</v>
      </c>
      <c r="J423" s="7">
        <v>9.9498554722462676E-2</v>
      </c>
      <c r="K423" s="7">
        <v>2.6906372426745702E-3</v>
      </c>
      <c r="L423" s="7">
        <v>2.4124029756577112E-2</v>
      </c>
      <c r="M423" s="12">
        <f t="shared" si="12"/>
        <v>0.13331584816515782</v>
      </c>
      <c r="N423" s="7">
        <v>2.4456003404105468E-2</v>
      </c>
      <c r="O423" s="7">
        <v>0.17756555103957269</v>
      </c>
      <c r="P423" s="7">
        <v>0.34963978108080351</v>
      </c>
      <c r="Q423" s="7"/>
      <c r="R423" s="13">
        <f t="shared" si="13"/>
        <v>1</v>
      </c>
      <c r="S423" s="7">
        <v>6.804542720056341E-4</v>
      </c>
      <c r="T423" s="7">
        <v>5.2240913826243893E-2</v>
      </c>
      <c r="U423" s="7">
        <v>5.9859800742447143E-2</v>
      </c>
      <c r="V423" s="7">
        <v>1.397223893298901E-2</v>
      </c>
      <c r="W423" s="7">
        <v>6.60279077956949E-4</v>
      </c>
      <c r="X423" s="7">
        <v>5.9021613135151786E-3</v>
      </c>
      <c r="Y423" s="7"/>
      <c r="Z423" s="14">
        <f>IFERROR(IF(INDEX('All GHED Countries'!$D$5:$AB$199,MATCH($B423,'All GHED Countries'!$B$5:$B$199,0),MATCH($D423,'All GHED Countries'!$D$4:$AB$4,0))="","",INDEX('All GHED Countries'!$D$5:$AB$199,MATCH($B423,'All GHED Countries'!$B$5:$B$199,0),MATCH($D423,'All GHED Countries'!$D$4:$AB$4,0))),"")</f>
        <v>0.11645920749999999</v>
      </c>
    </row>
    <row r="424" spans="1:26" x14ac:dyDescent="0.2">
      <c r="A424" s="6" t="s">
        <v>144</v>
      </c>
      <c r="B424" s="6" t="s">
        <v>145</v>
      </c>
      <c r="C424" s="6"/>
      <c r="D424" s="6" t="s">
        <v>24</v>
      </c>
      <c r="E424" s="6" t="s">
        <v>453</v>
      </c>
      <c r="F424" s="7">
        <v>6.7538572260182617E-2</v>
      </c>
      <c r="G424" s="7">
        <v>2.5596848792713841E-2</v>
      </c>
      <c r="H424" s="7">
        <v>1.079201260214498E-2</v>
      </c>
      <c r="I424" s="7">
        <v>7.3415211486875284E-2</v>
      </c>
      <c r="J424" s="7">
        <v>0.1109851045733104</v>
      </c>
      <c r="K424" s="7">
        <v>1.9359525171576729E-3</v>
      </c>
      <c r="L424" s="7">
        <v>2.5556586348682828E-2</v>
      </c>
      <c r="M424" s="12">
        <f t="shared" si="12"/>
        <v>0.13083616708243231</v>
      </c>
      <c r="N424" s="7">
        <v>2.5484449469793939E-2</v>
      </c>
      <c r="O424" s="7">
        <v>0.17551238154034049</v>
      </c>
      <c r="P424" s="7">
        <v>0.35234671332636569</v>
      </c>
      <c r="Q424" s="7"/>
      <c r="R424" s="13">
        <f t="shared" si="13"/>
        <v>1</v>
      </c>
      <c r="S424" s="7">
        <v>6.25745484315261E-4</v>
      </c>
      <c r="T424" s="7">
        <v>4.9905299376435397E-2</v>
      </c>
      <c r="U424" s="7">
        <v>5.9843412644756067E-2</v>
      </c>
      <c r="V424" s="7">
        <v>1.3147365577959E-2</v>
      </c>
      <c r="W424" s="7">
        <v>5.8548304028425199E-4</v>
      </c>
      <c r="X424" s="7">
        <v>6.7288609586823441E-3</v>
      </c>
      <c r="Y424" s="7"/>
      <c r="Z424" s="14">
        <f>IFERROR(IF(INDEX('All GHED Countries'!$D$5:$AB$199,MATCH($B424,'All GHED Countries'!$B$5:$B$199,0),MATCH($D424,'All GHED Countries'!$D$4:$AB$4,0))="","",INDEX('All GHED Countries'!$D$5:$AB$199,MATCH($B424,'All GHED Countries'!$B$5:$B$199,0),MATCH($D424,'All GHED Countries'!$D$4:$AB$4,0))),"")</f>
        <v>0.1202570248</v>
      </c>
    </row>
    <row r="425" spans="1:26" x14ac:dyDescent="0.2">
      <c r="A425" s="6" t="s">
        <v>144</v>
      </c>
      <c r="B425" s="6" t="s">
        <v>145</v>
      </c>
      <c r="C425" s="6"/>
      <c r="D425" s="6" t="s">
        <v>25</v>
      </c>
      <c r="E425" s="6" t="s">
        <v>453</v>
      </c>
      <c r="F425" s="7">
        <v>6.8855758795675986E-2</v>
      </c>
      <c r="G425" s="7">
        <v>2.4874347486040289E-2</v>
      </c>
      <c r="H425" s="7">
        <v>9.2640309447735228E-3</v>
      </c>
      <c r="I425" s="7">
        <v>6.5512098412140243E-2</v>
      </c>
      <c r="J425" s="7">
        <v>0.10922977585652879</v>
      </c>
      <c r="K425" s="7">
        <v>2.5009245842402342E-3</v>
      </c>
      <c r="L425" s="7">
        <v>2.3531426769896752E-2</v>
      </c>
      <c r="M425" s="12">
        <f t="shared" si="12"/>
        <v>0.13088171990857228</v>
      </c>
      <c r="N425" s="7">
        <v>2.7883035546474762E-2</v>
      </c>
      <c r="O425" s="7">
        <v>0.18372246709389531</v>
      </c>
      <c r="P425" s="7">
        <v>0.35374441460176193</v>
      </c>
      <c r="Q425" s="7"/>
      <c r="R425" s="13">
        <f t="shared" si="13"/>
        <v>1</v>
      </c>
      <c r="S425" s="7">
        <v>4.2894645899393101E-4</v>
      </c>
      <c r="T425" s="7">
        <v>4.349032066400306E-2</v>
      </c>
      <c r="U425" s="7">
        <v>5.9030914459284947E-2</v>
      </c>
      <c r="V425" s="7">
        <v>1.218632342866151E-2</v>
      </c>
      <c r="W425" s="7">
        <v>6.0780045956383808E-4</v>
      </c>
      <c r="X425" s="7">
        <v>1.513741443806498E-2</v>
      </c>
      <c r="Y425" s="7"/>
      <c r="Z425" s="14">
        <f>IFERROR(IF(INDEX('All GHED Countries'!$D$5:$AB$199,MATCH($B425,'All GHED Countries'!$B$5:$B$199,0),MATCH($D425,'All GHED Countries'!$D$4:$AB$4,0))="","",INDEX('All GHED Countries'!$D$5:$AB$199,MATCH($B425,'All GHED Countries'!$B$5:$B$199,0),MATCH($D425,'All GHED Countries'!$D$4:$AB$4,0))),"")</f>
        <v>0.121204834</v>
      </c>
    </row>
    <row r="426" spans="1:26" x14ac:dyDescent="0.2">
      <c r="A426" s="6" t="s">
        <v>144</v>
      </c>
      <c r="B426" s="6" t="s">
        <v>145</v>
      </c>
      <c r="C426" s="6"/>
      <c r="D426" s="6" t="s">
        <v>26</v>
      </c>
      <c r="E426" s="6" t="s">
        <v>453</v>
      </c>
      <c r="F426" s="7">
        <v>6.6659114669345348E-2</v>
      </c>
      <c r="G426" s="7">
        <v>2.3293362340282078E-2</v>
      </c>
      <c r="H426" s="7">
        <v>8.8740517921435565E-3</v>
      </c>
      <c r="I426" s="7">
        <v>6.5107315701694285E-2</v>
      </c>
      <c r="J426" s="7">
        <v>0.1212709738528016</v>
      </c>
      <c r="K426" s="7">
        <v>3.462545277863458E-3</v>
      </c>
      <c r="L426" s="7">
        <v>2.42992337907296E-2</v>
      </c>
      <c r="M426" s="12">
        <f t="shared" si="12"/>
        <v>0.13634812705917038</v>
      </c>
      <c r="N426" s="7">
        <v>2.3655039320429429E-2</v>
      </c>
      <c r="O426" s="7">
        <v>0.17173651354309691</v>
      </c>
      <c r="P426" s="7">
        <v>0.35529372265244341</v>
      </c>
      <c r="Q426" s="7"/>
      <c r="R426" s="13">
        <f t="shared" si="13"/>
        <v>1</v>
      </c>
      <c r="S426" s="7">
        <v>3.3438060428716789E-4</v>
      </c>
      <c r="T426" s="7">
        <v>5.47633540694802E-2</v>
      </c>
      <c r="U426" s="7">
        <v>6.1587448034524463E-2</v>
      </c>
      <c r="V426" s="7">
        <v>9.1988786648796641E-3</v>
      </c>
      <c r="W426" s="7">
        <v>5.6912943668469104E-4</v>
      </c>
      <c r="X426" s="7">
        <v>9.8949362493141631E-3</v>
      </c>
      <c r="Y426" s="7"/>
      <c r="Z426" s="14">
        <f>IFERROR(IF(INDEX('All GHED Countries'!$D$5:$AB$199,MATCH($B426,'All GHED Countries'!$B$5:$B$199,0),MATCH($D426,'All GHED Countries'!$D$4:$AB$4,0))="","",INDEX('All GHED Countries'!$D$5:$AB$199,MATCH($B426,'All GHED Countries'!$B$5:$B$199,0),MATCH($D426,'All GHED Countries'!$D$4:$AB$4,0))),"")</f>
        <v>0.12376142499999999</v>
      </c>
    </row>
    <row r="427" spans="1:26" x14ac:dyDescent="0.2">
      <c r="A427" s="6" t="s">
        <v>144</v>
      </c>
      <c r="B427" s="6" t="s">
        <v>145</v>
      </c>
      <c r="C427" s="6"/>
      <c r="D427" s="6" t="s">
        <v>27</v>
      </c>
      <c r="E427" s="6" t="s">
        <v>453</v>
      </c>
      <c r="F427" s="7">
        <v>5.9588970108579671E-2</v>
      </c>
      <c r="G427" s="7">
        <v>2.3668054649539409E-2</v>
      </c>
      <c r="H427" s="7">
        <v>9.55452455998098E-3</v>
      </c>
      <c r="I427" s="7">
        <v>6.2334859504837623E-2</v>
      </c>
      <c r="J427" s="7">
        <v>0.10358294670999291</v>
      </c>
      <c r="K427" s="7">
        <v>3.7725496412176038E-3</v>
      </c>
      <c r="L427" s="7">
        <v>2.6512708273637879E-2</v>
      </c>
      <c r="M427" s="12">
        <f t="shared" si="12"/>
        <v>0.16494601498533776</v>
      </c>
      <c r="N427" s="7">
        <v>2.388753071140727E-2</v>
      </c>
      <c r="O427" s="7">
        <v>0.16336578733988921</v>
      </c>
      <c r="P427" s="7">
        <v>0.35878605351557979</v>
      </c>
      <c r="Q427" s="7"/>
      <c r="R427" s="13">
        <f t="shared" si="13"/>
        <v>1</v>
      </c>
      <c r="S427" s="7">
        <v>3.7676723953983102E-4</v>
      </c>
      <c r="T427" s="7">
        <v>6.2914032445877816E-2</v>
      </c>
      <c r="U427" s="7">
        <v>7.9968541764465606E-2</v>
      </c>
      <c r="V427" s="7">
        <v>9.1570290257091819E-3</v>
      </c>
      <c r="W427" s="7">
        <v>5.3527772866662207E-4</v>
      </c>
      <c r="X427" s="7">
        <v>1.199436678107872E-2</v>
      </c>
      <c r="Y427" s="7"/>
      <c r="Z427" s="14">
        <f>IFERROR(IF(INDEX('All GHED Countries'!$D$5:$AB$199,MATCH($B427,'All GHED Countries'!$B$5:$B$199,0),MATCH($D427,'All GHED Countries'!$D$4:$AB$4,0))="","",INDEX('All GHED Countries'!$D$5:$AB$199,MATCH($B427,'All GHED Countries'!$B$5:$B$199,0),MATCH($D427,'All GHED Countries'!$D$4:$AB$4,0))),"")</f>
        <v>0.14621914859999999</v>
      </c>
    </row>
    <row r="428" spans="1:26" x14ac:dyDescent="0.2">
      <c r="A428" s="6" t="s">
        <v>144</v>
      </c>
      <c r="B428" s="6" t="s">
        <v>145</v>
      </c>
      <c r="C428" s="6"/>
      <c r="D428" s="6" t="s">
        <v>28</v>
      </c>
      <c r="E428" s="6" t="s">
        <v>453</v>
      </c>
      <c r="F428" s="7">
        <v>5.4763076567484477E-2</v>
      </c>
      <c r="G428" s="7">
        <v>2.726298192164919E-2</v>
      </c>
      <c r="H428" s="7">
        <v>8.9196227715887151E-3</v>
      </c>
      <c r="I428" s="7">
        <v>6.2507098437646333E-2</v>
      </c>
      <c r="J428" s="7">
        <v>0.10841929499811701</v>
      </c>
      <c r="K428" s="7">
        <v>3.6941763919413552E-3</v>
      </c>
      <c r="L428" s="7">
        <v>2.8783292917901208E-2</v>
      </c>
      <c r="M428" s="12">
        <f t="shared" si="12"/>
        <v>0.13603495719019429</v>
      </c>
      <c r="N428" s="7">
        <v>2.3197196092222899E-2</v>
      </c>
      <c r="O428" s="7">
        <v>0.1579878096164154</v>
      </c>
      <c r="P428" s="7">
        <v>0.38843049309483912</v>
      </c>
      <c r="Q428" s="7"/>
      <c r="R428" s="13">
        <f t="shared" si="13"/>
        <v>1</v>
      </c>
      <c r="S428" s="7">
        <v>7.9731644187450556E-3</v>
      </c>
      <c r="T428" s="7">
        <v>4.8204618318253102E-2</v>
      </c>
      <c r="U428" s="7">
        <v>6.4853318880748245E-2</v>
      </c>
      <c r="V428" s="7">
        <v>8.1405381064058296E-3</v>
      </c>
      <c r="W428" s="7">
        <v>4.3537084230808301E-4</v>
      </c>
      <c r="X428" s="7">
        <v>6.4279466237339763E-3</v>
      </c>
      <c r="Y428" s="7"/>
      <c r="Z428" s="14">
        <f>IFERROR(IF(INDEX('All GHED Countries'!$D$5:$AB$199,MATCH($B428,'All GHED Countries'!$B$5:$B$199,0),MATCH($D428,'All GHED Countries'!$D$4:$AB$4,0))="","",INDEX('All GHED Countries'!$D$5:$AB$199,MATCH($B428,'All GHED Countries'!$B$5:$B$199,0),MATCH($D428,'All GHED Countries'!$D$4:$AB$4,0))),"")</f>
        <v>0.1234735298</v>
      </c>
    </row>
    <row r="429" spans="1:26" x14ac:dyDescent="0.2">
      <c r="A429" s="6" t="s">
        <v>144</v>
      </c>
      <c r="B429" s="6" t="s">
        <v>145</v>
      </c>
      <c r="C429" s="6"/>
      <c r="D429" s="6" t="s">
        <v>29</v>
      </c>
      <c r="E429" s="6" t="s">
        <v>453</v>
      </c>
      <c r="F429" s="7">
        <v>5.1456209367690617E-2</v>
      </c>
      <c r="G429" s="7">
        <v>4.6120720006854937E-2</v>
      </c>
      <c r="H429" s="7">
        <v>1.2983674539390909E-2</v>
      </c>
      <c r="I429" s="7">
        <v>5.6935924072991598E-2</v>
      </c>
      <c r="J429" s="7">
        <v>9.5568803548961564E-2</v>
      </c>
      <c r="K429" s="7">
        <v>3.508069408022832E-3</v>
      </c>
      <c r="L429" s="7">
        <v>3.1873801126824128E-2</v>
      </c>
      <c r="M429" s="12">
        <f t="shared" si="12"/>
        <v>0.13523247004566855</v>
      </c>
      <c r="N429" s="7">
        <v>2.5265735197177262E-2</v>
      </c>
      <c r="O429" s="7">
        <v>0.15936391532784541</v>
      </c>
      <c r="P429" s="7">
        <v>0.38169067735857221</v>
      </c>
      <c r="Q429" s="7"/>
      <c r="R429" s="13">
        <f t="shared" si="13"/>
        <v>1</v>
      </c>
      <c r="S429" s="7">
        <v>8.0834063650886429E-3</v>
      </c>
      <c r="T429" s="7">
        <v>4.6690834309682357E-2</v>
      </c>
      <c r="U429" s="7">
        <v>6.3493086939886034E-2</v>
      </c>
      <c r="V429" s="7">
        <v>6.9211197655744284E-3</v>
      </c>
      <c r="W429" s="7">
        <v>3.8601489253939201E-4</v>
      </c>
      <c r="X429" s="7">
        <v>9.6580077728976813E-3</v>
      </c>
      <c r="Y429" s="7"/>
      <c r="Z429" s="14">
        <f>IFERROR(IF(INDEX('All GHED Countries'!$D$5:$AB$199,MATCH($B429,'All GHED Countries'!$B$5:$B$199,0),MATCH($D429,'All GHED Countries'!$D$4:$AB$4,0))="","",INDEX('All GHED Countries'!$D$5:$AB$199,MATCH($B429,'All GHED Countries'!$B$5:$B$199,0),MATCH($D429,'All GHED Countries'!$D$4:$AB$4,0))),"")</f>
        <v>0.120681181</v>
      </c>
    </row>
    <row r="430" spans="1:26" x14ac:dyDescent="0.2">
      <c r="A430" s="6" t="s">
        <v>144</v>
      </c>
      <c r="B430" s="6" t="s">
        <v>145</v>
      </c>
      <c r="C430" s="6"/>
      <c r="D430" s="6" t="s">
        <v>30</v>
      </c>
      <c r="E430" s="6" t="s">
        <v>453</v>
      </c>
      <c r="F430" s="7">
        <v>5.4220551614881297E-2</v>
      </c>
      <c r="G430" s="7">
        <v>3.6162215177623108E-2</v>
      </c>
      <c r="H430" s="7">
        <v>1.446130774723371E-2</v>
      </c>
      <c r="I430" s="7">
        <v>5.8026586945949407E-2</v>
      </c>
      <c r="J430" s="7">
        <v>9.1905180924931648E-2</v>
      </c>
      <c r="K430" s="7">
        <v>4.1370302840050546E-3</v>
      </c>
      <c r="L430" s="7">
        <v>2.5768811004321639E-2</v>
      </c>
      <c r="M430" s="12">
        <f t="shared" si="12"/>
        <v>0.14700323513003141</v>
      </c>
      <c r="N430" s="7">
        <v>2.6373059775899339E-2</v>
      </c>
      <c r="O430" s="7">
        <v>0.15964854354088151</v>
      </c>
      <c r="P430" s="7">
        <v>0.38229347785424189</v>
      </c>
      <c r="Q430" s="7"/>
      <c r="R430" s="13">
        <f t="shared" si="13"/>
        <v>1</v>
      </c>
      <c r="S430" s="7">
        <v>9.7444263540295995E-3</v>
      </c>
      <c r="T430" s="7">
        <v>5.019249755616749E-2</v>
      </c>
      <c r="U430" s="7">
        <v>6.9304813008182975E-2</v>
      </c>
      <c r="V430" s="7">
        <v>7.2314671290294773E-3</v>
      </c>
      <c r="W430" s="7">
        <v>3.7409748980584301E-4</v>
      </c>
      <c r="X430" s="7">
        <v>1.015593359281603E-2</v>
      </c>
      <c r="Y430" s="7"/>
      <c r="Z430" s="14" t="str">
        <f>IFERROR(IF(INDEX('All GHED Countries'!$D$5:$AB$199,MATCH($B430,'All GHED Countries'!$B$5:$B$199,0),MATCH($D430,'All GHED Countries'!$D$4:$AB$4,0))="","",INDEX('All GHED Countries'!$D$5:$AB$199,MATCH($B430,'All GHED Countries'!$B$5:$B$199,0),MATCH($D430,'All GHED Countries'!$D$4:$AB$4,0))),"")</f>
        <v/>
      </c>
    </row>
    <row r="431" spans="1:26" x14ac:dyDescent="0.2">
      <c r="A431" s="6" t="s">
        <v>148</v>
      </c>
      <c r="B431" s="6" t="s">
        <v>149</v>
      </c>
      <c r="C431" s="6"/>
      <c r="D431" s="6" t="s">
        <v>28</v>
      </c>
      <c r="E431" s="6" t="s">
        <v>452</v>
      </c>
      <c r="F431" s="7">
        <v>0.36271035867442603</v>
      </c>
      <c r="G431" s="7">
        <v>1.9103220017952002E-2</v>
      </c>
      <c r="H431" s="7">
        <v>7.2286599062006698E-2</v>
      </c>
      <c r="I431" s="7">
        <v>6.6616892122446899E-3</v>
      </c>
      <c r="J431" s="7">
        <v>0.15979848592785001</v>
      </c>
      <c r="K431" s="7">
        <v>2.13393595740097E-2</v>
      </c>
      <c r="L431" s="7">
        <v>1.34392796741563E-2</v>
      </c>
      <c r="M431" s="12">
        <f t="shared" si="12"/>
        <v>0.1132155439696365</v>
      </c>
      <c r="N431" s="7">
        <v>6.4132230902270507E-3</v>
      </c>
      <c r="O431" s="7">
        <v>0.17351727088781799</v>
      </c>
      <c r="P431" s="7">
        <v>5.1514969909672102E-2</v>
      </c>
      <c r="Q431" s="7"/>
      <c r="R431" s="13">
        <f t="shared" si="13"/>
        <v>0.999999999999999</v>
      </c>
      <c r="S431" s="7">
        <v>1.99236749373198E-2</v>
      </c>
      <c r="T431" s="7">
        <v>0</v>
      </c>
      <c r="U431" s="7">
        <v>1.88173659932559E-3</v>
      </c>
      <c r="V431" s="7">
        <v>2.27519706425416E-2</v>
      </c>
      <c r="W431" s="7">
        <v>0</v>
      </c>
      <c r="X431" s="7">
        <v>6.8658161790449507E-2</v>
      </c>
      <c r="Y431" s="7"/>
      <c r="Z431" s="14">
        <f>IFERROR(IF(INDEX('All GHED Countries'!$D$5:$AB$199,MATCH($B431,'All GHED Countries'!$B$5:$B$199,0),MATCH($D431,'All GHED Countries'!$D$4:$AB$4,0))="","",INDEX('All GHED Countries'!$D$5:$AB$199,MATCH($B431,'All GHED Countries'!$B$5:$B$199,0),MATCH($D431,'All GHED Countries'!$D$4:$AB$4,0))),"")</f>
        <v>8.3445749299999983E-2</v>
      </c>
    </row>
    <row r="432" spans="1:26" x14ac:dyDescent="0.2">
      <c r="A432" s="6" t="s">
        <v>154</v>
      </c>
      <c r="B432" s="6" t="s">
        <v>155</v>
      </c>
      <c r="C432" s="6"/>
      <c r="D432" s="6" t="s">
        <v>23</v>
      </c>
      <c r="E432" s="6" t="s">
        <v>453</v>
      </c>
      <c r="F432" s="7">
        <v>0.45358110655214717</v>
      </c>
      <c r="G432" s="7"/>
      <c r="H432" s="7">
        <v>0.2260933632089972</v>
      </c>
      <c r="I432" s="7">
        <v>0.18869902458584059</v>
      </c>
      <c r="J432" s="7">
        <v>6.3841399130882076E-2</v>
      </c>
      <c r="K432" s="7">
        <v>1.124681429512394E-2</v>
      </c>
      <c r="L432" s="7">
        <v>1.1484631080125341E-2</v>
      </c>
      <c r="M432" s="12">
        <f t="shared" si="12"/>
        <v>5.414436578335415E-3</v>
      </c>
      <c r="N432" s="7">
        <v>1.8868044404117219E-2</v>
      </c>
      <c r="O432" s="7">
        <v>1.704693733343797E-2</v>
      </c>
      <c r="P432" s="7">
        <v>3.724242830992249E-3</v>
      </c>
      <c r="Q432" s="7"/>
      <c r="R432" s="13">
        <f t="shared" si="13"/>
        <v>0.99999999999999922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5.414436578335415E-3</v>
      </c>
      <c r="Y432" s="7"/>
      <c r="Z432" s="14">
        <f>IFERROR(IF(INDEX('All GHED Countries'!$D$5:$AB$199,MATCH($B432,'All GHED Countries'!$B$5:$B$199,0),MATCH($D432,'All GHED Countries'!$D$4:$AB$4,0))="","",INDEX('All GHED Countries'!$D$5:$AB$199,MATCH($B432,'All GHED Countries'!$B$5:$B$199,0),MATCH($D432,'All GHED Countries'!$D$4:$AB$4,0))),"")</f>
        <v>4.7264437699999988E-2</v>
      </c>
    </row>
    <row r="433" spans="1:26" x14ac:dyDescent="0.2">
      <c r="A433" s="6" t="s">
        <v>154</v>
      </c>
      <c r="B433" s="6" t="s">
        <v>155</v>
      </c>
      <c r="C433" s="6"/>
      <c r="D433" s="6" t="s">
        <v>24</v>
      </c>
      <c r="E433" s="6" t="s">
        <v>453</v>
      </c>
      <c r="F433" s="7">
        <v>0.42056773137385911</v>
      </c>
      <c r="G433" s="7"/>
      <c r="H433" s="7">
        <v>0.2423112509757919</v>
      </c>
      <c r="I433" s="7">
        <v>0.17014280326852221</v>
      </c>
      <c r="J433" s="7">
        <v>7.1925335325859749E-2</v>
      </c>
      <c r="K433" s="7">
        <v>2.0300536420051179E-2</v>
      </c>
      <c r="L433" s="7">
        <v>1.5982014488114631E-2</v>
      </c>
      <c r="M433" s="12">
        <f t="shared" si="12"/>
        <v>5.9765710716645354E-3</v>
      </c>
      <c r="N433" s="7">
        <v>1.881620887007077E-2</v>
      </c>
      <c r="O433" s="7">
        <v>3.0024838343370729E-2</v>
      </c>
      <c r="P433" s="7">
        <v>3.9527098626957217E-3</v>
      </c>
      <c r="Q433" s="7"/>
      <c r="R433" s="13">
        <f t="shared" si="13"/>
        <v>1.0000000000000004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5.9765710716645354E-3</v>
      </c>
      <c r="Y433" s="7"/>
      <c r="Z433" s="14">
        <f>IFERROR(IF(INDEX('All GHED Countries'!$D$5:$AB$199,MATCH($B433,'All GHED Countries'!$B$5:$B$199,0),MATCH($D433,'All GHED Countries'!$D$4:$AB$4,0))="","",INDEX('All GHED Countries'!$D$5:$AB$199,MATCH($B433,'All GHED Countries'!$B$5:$B$199,0),MATCH($D433,'All GHED Countries'!$D$4:$AB$4,0))),"")</f>
        <v>4.0835618999999997E-2</v>
      </c>
    </row>
    <row r="434" spans="1:26" x14ac:dyDescent="0.2">
      <c r="A434" s="6" t="s">
        <v>154</v>
      </c>
      <c r="B434" s="6" t="s">
        <v>155</v>
      </c>
      <c r="C434" s="6"/>
      <c r="D434" s="6" t="s">
        <v>25</v>
      </c>
      <c r="E434" s="6" t="s">
        <v>453</v>
      </c>
      <c r="F434" s="7">
        <v>0.41617624849693852</v>
      </c>
      <c r="G434" s="7"/>
      <c r="H434" s="7">
        <v>0.19283683537983809</v>
      </c>
      <c r="I434" s="7">
        <v>0.2322773701468448</v>
      </c>
      <c r="J434" s="7">
        <v>7.158293310910982E-2</v>
      </c>
      <c r="K434" s="7">
        <v>6.7825836911782813E-3</v>
      </c>
      <c r="L434" s="7">
        <v>4.8918555205120654E-3</v>
      </c>
      <c r="M434" s="12">
        <f t="shared" si="12"/>
        <v>8.6545198728788381E-3</v>
      </c>
      <c r="N434" s="7">
        <v>7.6636175078393983E-3</v>
      </c>
      <c r="O434" s="7">
        <v>4.1898747346511077E-2</v>
      </c>
      <c r="P434" s="7">
        <v>1.723528892834909E-2</v>
      </c>
      <c r="Q434" s="7"/>
      <c r="R434" s="13">
        <f t="shared" si="13"/>
        <v>1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8.6545198728788381E-3</v>
      </c>
      <c r="Y434" s="7"/>
      <c r="Z434" s="14">
        <f>IFERROR(IF(INDEX('All GHED Countries'!$D$5:$AB$199,MATCH($B434,'All GHED Countries'!$B$5:$B$199,0),MATCH($D434,'All GHED Countries'!$D$4:$AB$4,0))="","",INDEX('All GHED Countries'!$D$5:$AB$199,MATCH($B434,'All GHED Countries'!$B$5:$B$199,0),MATCH($D434,'All GHED Countries'!$D$4:$AB$4,0))),"")</f>
        <v>4.1364955900000007E-2</v>
      </c>
    </row>
    <row r="435" spans="1:26" x14ac:dyDescent="0.2">
      <c r="A435" s="6" t="s">
        <v>154</v>
      </c>
      <c r="B435" s="6" t="s">
        <v>155</v>
      </c>
      <c r="C435" s="6"/>
      <c r="D435" s="6" t="s">
        <v>27</v>
      </c>
      <c r="E435" s="6" t="s">
        <v>453</v>
      </c>
      <c r="F435" s="7">
        <v>0.30768965256896041</v>
      </c>
      <c r="G435" s="7">
        <v>2.4647915525007331E-3</v>
      </c>
      <c r="H435" s="7">
        <v>0.15809368849095029</v>
      </c>
      <c r="I435" s="7">
        <v>0.26654702690411769</v>
      </c>
      <c r="J435" s="7">
        <v>0.1444557441992996</v>
      </c>
      <c r="K435" s="7">
        <v>1.2986112525468199E-3</v>
      </c>
      <c r="L435" s="7">
        <v>1.608359352286403E-2</v>
      </c>
      <c r="M435" s="12">
        <f t="shared" si="12"/>
        <v>5.0231689749069316E-2</v>
      </c>
      <c r="N435" s="7">
        <v>6.2701957868300622E-3</v>
      </c>
      <c r="O435" s="7">
        <v>4.227235166037116E-2</v>
      </c>
      <c r="P435" s="7">
        <v>4.5926543124905489E-3</v>
      </c>
      <c r="Q435" s="7"/>
      <c r="R435" s="13">
        <f t="shared" si="13"/>
        <v>1.0000000000000007</v>
      </c>
      <c r="S435" s="7">
        <v>0</v>
      </c>
      <c r="T435" s="7">
        <v>4.0807033799841602E-3</v>
      </c>
      <c r="U435" s="7">
        <v>2.494809821679975E-2</v>
      </c>
      <c r="V435" s="7">
        <v>5.2625469816642498E-3</v>
      </c>
      <c r="W435" s="7">
        <v>0</v>
      </c>
      <c r="X435" s="7">
        <v>1.5940341170621149E-2</v>
      </c>
      <c r="Y435" s="7"/>
      <c r="Z435" s="14">
        <f>IFERROR(IF(INDEX('All GHED Countries'!$D$5:$AB$199,MATCH($B435,'All GHED Countries'!$B$5:$B$199,0),MATCH($D435,'All GHED Countries'!$D$4:$AB$4,0))="","",INDEX('All GHED Countries'!$D$5:$AB$199,MATCH($B435,'All GHED Countries'!$B$5:$B$199,0),MATCH($D435,'All GHED Countries'!$D$4:$AB$4,0))),"")</f>
        <v>7.1242856999999993E-2</v>
      </c>
    </row>
    <row r="436" spans="1:26" x14ac:dyDescent="0.2">
      <c r="A436" s="6" t="s">
        <v>154</v>
      </c>
      <c r="B436" s="6" t="s">
        <v>155</v>
      </c>
      <c r="C436" s="6"/>
      <c r="D436" s="6" t="s">
        <v>28</v>
      </c>
      <c r="E436" s="6" t="s">
        <v>453</v>
      </c>
      <c r="F436" s="7">
        <v>0.2846911351341212</v>
      </c>
      <c r="G436" s="7">
        <v>8.2226198977262998E-4</v>
      </c>
      <c r="H436" s="7">
        <v>0.1187134766053362</v>
      </c>
      <c r="I436" s="7">
        <v>0.21503134710684821</v>
      </c>
      <c r="J436" s="7">
        <v>0.26793606944340598</v>
      </c>
      <c r="K436" s="7">
        <v>1.242329947732314E-3</v>
      </c>
      <c r="L436" s="7">
        <v>1.994558333837048E-2</v>
      </c>
      <c r="M436" s="12">
        <f t="shared" si="12"/>
        <v>3.0429655722312914E-2</v>
      </c>
      <c r="N436" s="7">
        <v>6.0619105381883058E-3</v>
      </c>
      <c r="O436" s="7">
        <v>3.6286788738611159E-2</v>
      </c>
      <c r="P436" s="7">
        <v>1.8839441435301248E-2</v>
      </c>
      <c r="Q436" s="7"/>
      <c r="R436" s="13">
        <f t="shared" si="13"/>
        <v>1.0000000000000007</v>
      </c>
      <c r="S436" s="7">
        <v>0</v>
      </c>
      <c r="T436" s="7">
        <v>1.9433060509777081E-3</v>
      </c>
      <c r="U436" s="7">
        <v>2.1578876890690928E-3</v>
      </c>
      <c r="V436" s="7">
        <v>6.6407868180965723E-3</v>
      </c>
      <c r="W436" s="7">
        <v>0</v>
      </c>
      <c r="X436" s="7">
        <v>1.9687675164169541E-2</v>
      </c>
      <c r="Y436" s="7"/>
      <c r="Z436" s="14">
        <f>IFERROR(IF(INDEX('All GHED Countries'!$D$5:$AB$199,MATCH($B436,'All GHED Countries'!$B$5:$B$199,0),MATCH($D436,'All GHED Countries'!$D$4:$AB$4,0))="","",INDEX('All GHED Countries'!$D$5:$AB$199,MATCH($B436,'All GHED Countries'!$B$5:$B$199,0),MATCH($D436,'All GHED Countries'!$D$4:$AB$4,0))),"")</f>
        <v>4.4200739899999987E-2</v>
      </c>
    </row>
    <row r="437" spans="1:26" x14ac:dyDescent="0.2">
      <c r="A437" s="6" t="s">
        <v>154</v>
      </c>
      <c r="B437" s="6" t="s">
        <v>155</v>
      </c>
      <c r="C437" s="6"/>
      <c r="D437" s="6" t="s">
        <v>29</v>
      </c>
      <c r="E437" s="6" t="s">
        <v>453</v>
      </c>
      <c r="F437" s="7">
        <v>0.36350860569908428</v>
      </c>
      <c r="G437" s="7">
        <v>2.502479003860639E-3</v>
      </c>
      <c r="H437" s="7">
        <v>0.1233472043188106</v>
      </c>
      <c r="I437" s="7">
        <v>0.20170978738841819</v>
      </c>
      <c r="J437" s="7">
        <v>0.1776621552393047</v>
      </c>
      <c r="K437" s="7">
        <v>2.3482791289780379E-3</v>
      </c>
      <c r="L437" s="7">
        <v>1.5279175953331239E-2</v>
      </c>
      <c r="M437" s="12">
        <f t="shared" si="12"/>
        <v>6.3212549462299025E-2</v>
      </c>
      <c r="N437" s="7">
        <v>6.712420749545759E-3</v>
      </c>
      <c r="O437" s="7">
        <v>3.9652186763694863E-2</v>
      </c>
      <c r="P437" s="7">
        <v>4.065156292672711E-3</v>
      </c>
      <c r="Q437" s="7"/>
      <c r="R437" s="13">
        <f t="shared" si="13"/>
        <v>1.0000000000000002</v>
      </c>
      <c r="S437" s="7">
        <v>0</v>
      </c>
      <c r="T437" s="7">
        <v>2.3287864596557512E-3</v>
      </c>
      <c r="U437" s="7">
        <v>9.5493730985861322E-3</v>
      </c>
      <c r="V437" s="7">
        <v>1.8253736743518781E-2</v>
      </c>
      <c r="W437" s="7">
        <v>0</v>
      </c>
      <c r="X437" s="7">
        <v>3.3080653160538362E-2</v>
      </c>
      <c r="Y437" s="7"/>
      <c r="Z437" s="14">
        <f>IFERROR(IF(INDEX('All GHED Countries'!$D$5:$AB$199,MATCH($B437,'All GHED Countries'!$B$5:$B$199,0),MATCH($D437,'All GHED Countries'!$D$4:$AB$4,0))="","",INDEX('All GHED Countries'!$D$5:$AB$199,MATCH($B437,'All GHED Countries'!$B$5:$B$199,0),MATCH($D437,'All GHED Countries'!$D$4:$AB$4,0))),"")</f>
        <v>7.9044699700000012E-2</v>
      </c>
    </row>
    <row r="438" spans="1:26" x14ac:dyDescent="0.2">
      <c r="A438" s="6" t="s">
        <v>154</v>
      </c>
      <c r="B438" s="6" t="s">
        <v>155</v>
      </c>
      <c r="C438" s="6"/>
      <c r="D438" s="6" t="s">
        <v>30</v>
      </c>
      <c r="E438" s="6" t="s">
        <v>453</v>
      </c>
      <c r="F438" s="7">
        <v>0.30357549700613251</v>
      </c>
      <c r="G438" s="7">
        <v>5.1690360463418229E-3</v>
      </c>
      <c r="H438" s="7">
        <v>0.1399957257407011</v>
      </c>
      <c r="I438" s="7">
        <v>0.1843960599327473</v>
      </c>
      <c r="J438" s="7">
        <v>0.2346124105622068</v>
      </c>
      <c r="K438" s="7">
        <v>2.417383799829725E-3</v>
      </c>
      <c r="L438" s="7">
        <v>1.35945523767212E-2</v>
      </c>
      <c r="M438" s="12">
        <f t="shared" si="12"/>
        <v>6.3120109041430394E-2</v>
      </c>
      <c r="N438" s="7">
        <v>5.2450484135677699E-3</v>
      </c>
      <c r="O438" s="7">
        <v>4.4483486880328681E-2</v>
      </c>
      <c r="P438" s="7">
        <v>3.390690199992683E-3</v>
      </c>
      <c r="Q438" s="7"/>
      <c r="R438" s="13">
        <f t="shared" si="13"/>
        <v>1</v>
      </c>
      <c r="S438" s="7">
        <v>0</v>
      </c>
      <c r="T438" s="7">
        <v>6.6181926730143649E-3</v>
      </c>
      <c r="U438" s="7">
        <v>3.328167267456471E-3</v>
      </c>
      <c r="V438" s="7">
        <v>2.9666389591135479E-2</v>
      </c>
      <c r="W438" s="7">
        <v>0</v>
      </c>
      <c r="X438" s="7">
        <v>2.3507359509824081E-2</v>
      </c>
      <c r="Y438" s="7"/>
      <c r="Z438" s="14" t="str">
        <f>IFERROR(IF(INDEX('All GHED Countries'!$D$5:$AB$199,MATCH($B438,'All GHED Countries'!$B$5:$B$199,0),MATCH($D438,'All GHED Countries'!$D$4:$AB$4,0))="","",INDEX('All GHED Countries'!$D$5:$AB$199,MATCH($B438,'All GHED Countries'!$B$5:$B$199,0),MATCH($D438,'All GHED Countries'!$D$4:$AB$4,0))),"")</f>
        <v/>
      </c>
    </row>
    <row r="439" spans="1:26" x14ac:dyDescent="0.2">
      <c r="A439" s="6" t="s">
        <v>156</v>
      </c>
      <c r="B439" s="6" t="s">
        <v>157</v>
      </c>
      <c r="C439" s="6"/>
      <c r="D439" s="6" t="s">
        <v>11</v>
      </c>
      <c r="E439" s="6" t="s">
        <v>453</v>
      </c>
      <c r="F439" s="7">
        <v>0.1218735384250242</v>
      </c>
      <c r="G439" s="7">
        <v>9.2858439264797255E-2</v>
      </c>
      <c r="H439" s="7">
        <v>4.8342792123027091E-2</v>
      </c>
      <c r="I439" s="7">
        <v>9.2863674757247688E-2</v>
      </c>
      <c r="J439" s="7">
        <v>0.1445816143466454</v>
      </c>
      <c r="K439" s="7">
        <v>5.7939449784646744E-3</v>
      </c>
      <c r="L439" s="7">
        <v>5.0848847842628081E-2</v>
      </c>
      <c r="M439" s="12">
        <f t="shared" si="12"/>
        <v>0.1056016278891193</v>
      </c>
      <c r="N439" s="7">
        <v>1.736263812974248E-2</v>
      </c>
      <c r="O439" s="7">
        <v>0.18084438022240371</v>
      </c>
      <c r="P439" s="7">
        <v>0.13902850202090011</v>
      </c>
      <c r="Q439" s="7"/>
      <c r="R439" s="13">
        <f t="shared" si="13"/>
        <v>1</v>
      </c>
      <c r="S439" s="7"/>
      <c r="T439" s="7"/>
      <c r="U439" s="7"/>
      <c r="V439" s="7"/>
      <c r="W439" s="7"/>
      <c r="X439" s="7"/>
      <c r="Y439" s="7">
        <v>0.1056016278891193</v>
      </c>
      <c r="Z439" s="14">
        <f>IFERROR(IF(INDEX('All GHED Countries'!$D$5:$AB$199,MATCH($B439,'All GHED Countries'!$B$5:$B$199,0),MATCH($D439,'All GHED Countries'!$D$4:$AB$4,0))="","",INDEX('All GHED Countries'!$D$5:$AB$199,MATCH($B439,'All GHED Countries'!$B$5:$B$199,0),MATCH($D439,'All GHED Countries'!$D$4:$AB$4,0))),"")</f>
        <v>0.1091880608</v>
      </c>
    </row>
    <row r="440" spans="1:26" x14ac:dyDescent="0.2">
      <c r="A440" s="6" t="s">
        <v>156</v>
      </c>
      <c r="B440" s="6" t="s">
        <v>157</v>
      </c>
      <c r="C440" s="6"/>
      <c r="D440" s="6" t="s">
        <v>12</v>
      </c>
      <c r="E440" s="6" t="s">
        <v>453</v>
      </c>
      <c r="F440" s="7">
        <v>5.2852593100224353E-2</v>
      </c>
      <c r="G440" s="7">
        <v>8.6454694483709349E-2</v>
      </c>
      <c r="H440" s="7"/>
      <c r="I440" s="7">
        <v>9.9934967778044559E-2</v>
      </c>
      <c r="J440" s="7">
        <v>0.1765171667575634</v>
      </c>
      <c r="K440" s="7">
        <v>6.4221306718353242E-3</v>
      </c>
      <c r="L440" s="7">
        <v>5.8660972239668381E-2</v>
      </c>
      <c r="M440" s="12">
        <f t="shared" si="12"/>
        <v>0.1110460965561543</v>
      </c>
      <c r="N440" s="7">
        <v>2.4588222012691618E-2</v>
      </c>
      <c r="O440" s="7">
        <v>0.19019778381635791</v>
      </c>
      <c r="P440" s="7">
        <v>0.13861721461746271</v>
      </c>
      <c r="Q440" s="7">
        <v>5.4708157966288133E-2</v>
      </c>
      <c r="R440" s="13">
        <f t="shared" si="13"/>
        <v>1</v>
      </c>
      <c r="S440" s="7"/>
      <c r="T440" s="7"/>
      <c r="U440" s="7"/>
      <c r="V440" s="7"/>
      <c r="W440" s="7"/>
      <c r="X440" s="7"/>
      <c r="Y440" s="7">
        <v>0.1110460965561543</v>
      </c>
      <c r="Z440" s="14">
        <f>IFERROR(IF(INDEX('All GHED Countries'!$D$5:$AB$199,MATCH($B440,'All GHED Countries'!$B$5:$B$199,0),MATCH($D440,'All GHED Countries'!$D$4:$AB$4,0))="","",INDEX('All GHED Countries'!$D$5:$AB$199,MATCH($B440,'All GHED Countries'!$B$5:$B$199,0),MATCH($D440,'All GHED Countries'!$D$4:$AB$4,0))),"")</f>
        <v>0.13095091819999999</v>
      </c>
    </row>
    <row r="441" spans="1:26" x14ac:dyDescent="0.2">
      <c r="A441" s="6" t="s">
        <v>156</v>
      </c>
      <c r="B441" s="6" t="s">
        <v>157</v>
      </c>
      <c r="C441" s="6"/>
      <c r="D441" s="6" t="s">
        <v>13</v>
      </c>
      <c r="E441" s="6" t="s">
        <v>452</v>
      </c>
      <c r="F441" s="7">
        <v>0.44218893810526899</v>
      </c>
      <c r="G441" s="7">
        <v>9.2980242468397978E-2</v>
      </c>
      <c r="H441" s="7">
        <v>4.8968831776769993E-2</v>
      </c>
      <c r="I441" s="7">
        <v>9.9560220259433091E-2</v>
      </c>
      <c r="J441" s="7">
        <v>8.6109893900277873E-2</v>
      </c>
      <c r="K441" s="7">
        <v>3.6868289575337138E-3</v>
      </c>
      <c r="L441" s="7">
        <v>3.9977896624483707E-2</v>
      </c>
      <c r="M441" s="12">
        <f t="shared" si="12"/>
        <v>2.286889847405757E-2</v>
      </c>
      <c r="N441" s="7">
        <v>1.226596555322672E-2</v>
      </c>
      <c r="O441" s="7">
        <v>2.923417787233893E-2</v>
      </c>
      <c r="P441" s="7">
        <v>0.1221581060082113</v>
      </c>
      <c r="Q441" s="7"/>
      <c r="R441" s="13">
        <f t="shared" si="13"/>
        <v>0.99999999999999989</v>
      </c>
      <c r="S441" s="7"/>
      <c r="T441" s="7"/>
      <c r="U441" s="7"/>
      <c r="V441" s="7"/>
      <c r="W441" s="7"/>
      <c r="X441" s="7"/>
      <c r="Y441" s="7">
        <v>2.286889847405757E-2</v>
      </c>
      <c r="Z441" s="14">
        <f>IFERROR(IF(INDEX('All GHED Countries'!$D$5:$AB$199,MATCH($B441,'All GHED Countries'!$B$5:$B$199,0),MATCH($D441,'All GHED Countries'!$D$4:$AB$4,0))="","",INDEX('All GHED Countries'!$D$5:$AB$199,MATCH($B441,'All GHED Countries'!$B$5:$B$199,0),MATCH($D441,'All GHED Countries'!$D$4:$AB$4,0))),"")</f>
        <v>0.13509318349999999</v>
      </c>
    </row>
    <row r="442" spans="1:26" x14ac:dyDescent="0.2">
      <c r="A442" s="6" t="s">
        <v>156</v>
      </c>
      <c r="B442" s="6" t="s">
        <v>157</v>
      </c>
      <c r="C442" s="6"/>
      <c r="D442" s="6" t="s">
        <v>14</v>
      </c>
      <c r="E442" s="6" t="s">
        <v>453</v>
      </c>
      <c r="F442" s="7">
        <v>3.3665014081884437E-2</v>
      </c>
      <c r="G442" s="7">
        <v>6.8319251448921162E-2</v>
      </c>
      <c r="H442" s="7">
        <v>4.7082373204850689E-2</v>
      </c>
      <c r="I442" s="7">
        <v>0.1020866792356213</v>
      </c>
      <c r="J442" s="7">
        <v>0.21722412308265249</v>
      </c>
      <c r="K442" s="7">
        <v>7.5937434536694362E-3</v>
      </c>
      <c r="L442" s="7">
        <v>6.5678607173614512E-2</v>
      </c>
      <c r="M442" s="12">
        <f t="shared" si="12"/>
        <v>0.1135849451853921</v>
      </c>
      <c r="N442" s="7">
        <v>3.3097083536996953E-2</v>
      </c>
      <c r="O442" s="7">
        <v>0.1854537625398599</v>
      </c>
      <c r="P442" s="7">
        <v>0.1262132532644368</v>
      </c>
      <c r="Q442" s="7"/>
      <c r="R442" s="13">
        <f t="shared" si="13"/>
        <v>0.99999883620789964</v>
      </c>
      <c r="S442" s="7"/>
      <c r="T442" s="7"/>
      <c r="U442" s="7"/>
      <c r="V442" s="7"/>
      <c r="W442" s="7"/>
      <c r="X442" s="7"/>
      <c r="Y442" s="7">
        <v>0.1135849451853921</v>
      </c>
      <c r="Z442" s="14">
        <f>IFERROR(IF(INDEX('All GHED Countries'!$D$5:$AB$199,MATCH($B442,'All GHED Countries'!$B$5:$B$199,0),MATCH($D442,'All GHED Countries'!$D$4:$AB$4,0))="","",INDEX('All GHED Countries'!$D$5:$AB$199,MATCH($B442,'All GHED Countries'!$B$5:$B$199,0),MATCH($D442,'All GHED Countries'!$D$4:$AB$4,0))),"")</f>
        <v>0.1301471424</v>
      </c>
    </row>
    <row r="443" spans="1:26" x14ac:dyDescent="0.2">
      <c r="A443" s="6" t="s">
        <v>156</v>
      </c>
      <c r="B443" s="6" t="s">
        <v>157</v>
      </c>
      <c r="C443" s="6"/>
      <c r="D443" s="6" t="s">
        <v>15</v>
      </c>
      <c r="E443" s="6" t="s">
        <v>453</v>
      </c>
      <c r="F443" s="7">
        <v>0.1189306230414487</v>
      </c>
      <c r="G443" s="7">
        <v>6.2135476134262027E-2</v>
      </c>
      <c r="H443" s="7">
        <v>3.0859221461850519E-2</v>
      </c>
      <c r="I443" s="7">
        <v>9.3689469087206517E-2</v>
      </c>
      <c r="J443" s="7">
        <v>0.19359106622383879</v>
      </c>
      <c r="K443" s="7">
        <v>7.0751189907523847E-3</v>
      </c>
      <c r="L443" s="7">
        <v>6.2087713019413217E-2</v>
      </c>
      <c r="M443" s="12">
        <f t="shared" si="12"/>
        <v>0.10528528524198463</v>
      </c>
      <c r="N443" s="7">
        <v>2.9749293143395469E-2</v>
      </c>
      <c r="O443" s="7">
        <v>0.17235180538205</v>
      </c>
      <c r="P443" s="7">
        <v>0.1242449282738025</v>
      </c>
      <c r="Q443" s="7"/>
      <c r="R443" s="13">
        <f t="shared" si="13"/>
        <v>1.0000000000000047</v>
      </c>
      <c r="S443" s="7">
        <v>0</v>
      </c>
      <c r="T443" s="7">
        <v>5.6801748996946998E-5</v>
      </c>
      <c r="U443" s="7">
        <v>5.1162009240606793E-2</v>
      </c>
      <c r="V443" s="7">
        <v>5.3136592074382039E-2</v>
      </c>
      <c r="W443" s="7">
        <v>8.6157085426872106E-4</v>
      </c>
      <c r="X443" s="7">
        <v>6.8311323730142008E-5</v>
      </c>
      <c r="Y443" s="7"/>
      <c r="Z443" s="14">
        <f>IFERROR(IF(INDEX('All GHED Countries'!$D$5:$AB$199,MATCH($B443,'All GHED Countries'!$B$5:$B$199,0),MATCH($D443,'All GHED Countries'!$D$4:$AB$4,0))="","",INDEX('All GHED Countries'!$D$5:$AB$199,MATCH($B443,'All GHED Countries'!$B$5:$B$199,0),MATCH($D443,'All GHED Countries'!$D$4:$AB$4,0))),"")</f>
        <v>0.1336997318</v>
      </c>
    </row>
    <row r="444" spans="1:26" x14ac:dyDescent="0.2">
      <c r="A444" s="6" t="s">
        <v>156</v>
      </c>
      <c r="B444" s="6" t="s">
        <v>157</v>
      </c>
      <c r="C444" s="6"/>
      <c r="D444" s="6" t="s">
        <v>16</v>
      </c>
      <c r="E444" s="6" t="s">
        <v>453</v>
      </c>
      <c r="F444" s="7">
        <v>0.1261988376165675</v>
      </c>
      <c r="G444" s="7">
        <v>6.949738469396298E-2</v>
      </c>
      <c r="H444" s="7">
        <v>2.902162095448951E-2</v>
      </c>
      <c r="I444" s="7">
        <v>9.9883191922883516E-2</v>
      </c>
      <c r="J444" s="7">
        <v>0.16559487224415881</v>
      </c>
      <c r="K444" s="7">
        <v>7.1901993025209861E-3</v>
      </c>
      <c r="L444" s="7">
        <v>6.5900791596134572E-2</v>
      </c>
      <c r="M444" s="12">
        <f t="shared" si="12"/>
        <v>0.11310899908048345</v>
      </c>
      <c r="N444" s="7">
        <v>2.729766630901332E-2</v>
      </c>
      <c r="O444" s="7">
        <v>0.172349560874308</v>
      </c>
      <c r="P444" s="7">
        <v>0.1239568754054774</v>
      </c>
      <c r="Q444" s="7"/>
      <c r="R444" s="13">
        <f t="shared" si="13"/>
        <v>1</v>
      </c>
      <c r="S444" s="7">
        <v>0</v>
      </c>
      <c r="T444" s="7">
        <v>5.4713469198843003E-5</v>
      </c>
      <c r="U444" s="7">
        <v>5.4303657895768423E-2</v>
      </c>
      <c r="V444" s="7">
        <v>5.7791257635563337E-2</v>
      </c>
      <c r="W444" s="7">
        <v>8.8177432511871905E-4</v>
      </c>
      <c r="X444" s="7">
        <v>7.7595754834121998E-5</v>
      </c>
      <c r="Y444" s="7"/>
      <c r="Z444" s="14">
        <f>IFERROR(IF(INDEX('All GHED Countries'!$D$5:$AB$199,MATCH($B444,'All GHED Countries'!$B$5:$B$199,0),MATCH($D444,'All GHED Countries'!$D$4:$AB$4,0))="","",INDEX('All GHED Countries'!$D$5:$AB$199,MATCH($B444,'All GHED Countries'!$B$5:$B$199,0),MATCH($D444,'All GHED Countries'!$D$4:$AB$4,0))),"")</f>
        <v>0.1411525917</v>
      </c>
    </row>
    <row r="445" spans="1:26" x14ac:dyDescent="0.2">
      <c r="A445" s="6" t="s">
        <v>156</v>
      </c>
      <c r="B445" s="6" t="s">
        <v>157</v>
      </c>
      <c r="C445" s="6"/>
      <c r="D445" s="6" t="s">
        <v>17</v>
      </c>
      <c r="E445" s="6" t="s">
        <v>453</v>
      </c>
      <c r="F445" s="7">
        <v>0.1483205056573785</v>
      </c>
      <c r="G445" s="7">
        <v>7.0382933977483214E-2</v>
      </c>
      <c r="H445" s="7">
        <v>3.1251195636504747E-2</v>
      </c>
      <c r="I445" s="7">
        <v>9.2336826673849709E-2</v>
      </c>
      <c r="J445" s="7">
        <v>0.1477274075524487</v>
      </c>
      <c r="K445" s="7">
        <v>7.5969441309820937E-3</v>
      </c>
      <c r="L445" s="7">
        <v>6.4392286162976944E-2</v>
      </c>
      <c r="M445" s="12">
        <f t="shared" si="12"/>
        <v>0.11052684555077068</v>
      </c>
      <c r="N445" s="7">
        <v>2.4945182070686599E-2</v>
      </c>
      <c r="O445" s="7">
        <v>0.18456661618510201</v>
      </c>
      <c r="P445" s="7">
        <v>0.11795325640181931</v>
      </c>
      <c r="Q445" s="7"/>
      <c r="R445" s="13">
        <f t="shared" si="13"/>
        <v>1.0000000000000027</v>
      </c>
      <c r="S445" s="7">
        <v>0</v>
      </c>
      <c r="T445" s="7">
        <v>6.2398721121523993E-5</v>
      </c>
      <c r="U445" s="7">
        <v>4.9866852186113191E-2</v>
      </c>
      <c r="V445" s="7">
        <v>5.2773823381349408E-2</v>
      </c>
      <c r="W445" s="7">
        <v>1.086304789194909E-3</v>
      </c>
      <c r="X445" s="7">
        <v>6.7374664729916382E-3</v>
      </c>
      <c r="Y445" s="7"/>
      <c r="Z445" s="14">
        <f>IFERROR(IF(INDEX('All GHED Countries'!$D$5:$AB$199,MATCH($B445,'All GHED Countries'!$B$5:$B$199,0),MATCH($D445,'All GHED Countries'!$D$4:$AB$4,0))="","",INDEX('All GHED Countries'!$D$5:$AB$199,MATCH($B445,'All GHED Countries'!$B$5:$B$199,0),MATCH($D445,'All GHED Countries'!$D$4:$AB$4,0))),"")</f>
        <v>0.1467442226</v>
      </c>
    </row>
    <row r="446" spans="1:26" x14ac:dyDescent="0.2">
      <c r="A446" s="6" t="s">
        <v>156</v>
      </c>
      <c r="B446" s="6" t="s">
        <v>157</v>
      </c>
      <c r="C446" s="6"/>
      <c r="D446" s="6" t="s">
        <v>18</v>
      </c>
      <c r="E446" s="6" t="s">
        <v>453</v>
      </c>
      <c r="F446" s="7">
        <v>0.13692238667151599</v>
      </c>
      <c r="G446" s="7">
        <v>7.6643851511931871E-2</v>
      </c>
      <c r="H446" s="7">
        <v>2.9743971161688639E-2</v>
      </c>
      <c r="I446" s="7">
        <v>9.9196884964159793E-2</v>
      </c>
      <c r="J446" s="7">
        <v>0.1246283602899893</v>
      </c>
      <c r="K446" s="7">
        <v>7.7117149533060458E-3</v>
      </c>
      <c r="L446" s="7">
        <v>7.0165652104493451E-2</v>
      </c>
      <c r="M446" s="12">
        <f t="shared" si="12"/>
        <v>0.11670952109418511</v>
      </c>
      <c r="N446" s="7">
        <v>3.1294406330050359E-2</v>
      </c>
      <c r="O446" s="7">
        <v>0.19202826658914621</v>
      </c>
      <c r="P446" s="7">
        <v>0.1149549843295332</v>
      </c>
      <c r="Q446" s="7"/>
      <c r="R446" s="13">
        <f t="shared" si="13"/>
        <v>0.99999999999999989</v>
      </c>
      <c r="S446" s="7">
        <v>0</v>
      </c>
      <c r="T446" s="7">
        <v>5.4851158250351002E-5</v>
      </c>
      <c r="U446" s="7">
        <v>6.7044617288190042E-2</v>
      </c>
      <c r="V446" s="7">
        <v>4.0858953078560058E-2</v>
      </c>
      <c r="W446" s="7">
        <v>1.222079909300037E-3</v>
      </c>
      <c r="X446" s="7">
        <v>7.5290196598846136E-3</v>
      </c>
      <c r="Y446" s="7"/>
      <c r="Z446" s="14">
        <f>IFERROR(IF(INDEX('All GHED Countries'!$D$5:$AB$199,MATCH($B446,'All GHED Countries'!$B$5:$B$199,0),MATCH($D446,'All GHED Countries'!$D$4:$AB$4,0))="","",INDEX('All GHED Countries'!$D$5:$AB$199,MATCH($B446,'All GHED Countries'!$B$5:$B$199,0),MATCH($D446,'All GHED Countries'!$D$4:$AB$4,0))),"")</f>
        <v>0.14467313770000001</v>
      </c>
    </row>
    <row r="447" spans="1:26" x14ac:dyDescent="0.2">
      <c r="A447" s="6" t="s">
        <v>156</v>
      </c>
      <c r="B447" s="6" t="s">
        <v>157</v>
      </c>
      <c r="C447" s="6"/>
      <c r="D447" s="6" t="s">
        <v>19</v>
      </c>
      <c r="E447" s="6" t="s">
        <v>453</v>
      </c>
      <c r="F447" s="7">
        <v>0.22986010879614549</v>
      </c>
      <c r="G447" s="7">
        <v>6.9558257296322243E-2</v>
      </c>
      <c r="H447" s="7">
        <v>2.5567936144906839E-2</v>
      </c>
      <c r="I447" s="7">
        <v>8.7396425692399138E-2</v>
      </c>
      <c r="J447" s="7">
        <v>0.1103677740627509</v>
      </c>
      <c r="K447" s="7">
        <v>7.1800541641838973E-3</v>
      </c>
      <c r="L447" s="7">
        <v>6.261529896370574E-2</v>
      </c>
      <c r="M447" s="12">
        <f t="shared" si="12"/>
        <v>0.104534703581366</v>
      </c>
      <c r="N447" s="7">
        <v>3.005127461108387E-2</v>
      </c>
      <c r="O447" s="7">
        <v>0.16750699938428051</v>
      </c>
      <c r="P447" s="7">
        <v>0.10536116730285661</v>
      </c>
      <c r="Q447" s="7"/>
      <c r="R447" s="13">
        <f t="shared" si="13"/>
        <v>1.0000000000000013</v>
      </c>
      <c r="S447" s="7">
        <v>0</v>
      </c>
      <c r="T447" s="7">
        <v>6.9646685257771998E-5</v>
      </c>
      <c r="U447" s="7">
        <v>5.79056146049369E-2</v>
      </c>
      <c r="V447" s="7">
        <v>3.7658859143119019E-2</v>
      </c>
      <c r="W447" s="7">
        <v>2.0738967665950478E-3</v>
      </c>
      <c r="X447" s="7">
        <v>6.8266863814572722E-3</v>
      </c>
      <c r="Y447" s="7"/>
      <c r="Z447" s="14">
        <f>IFERROR(IF(INDEX('All GHED Countries'!$D$5:$AB$199,MATCH($B447,'All GHED Countries'!$B$5:$B$199,0),MATCH($D447,'All GHED Countries'!$D$4:$AB$4,0))="","",INDEX('All GHED Countries'!$D$5:$AB$199,MATCH($B447,'All GHED Countries'!$B$5:$B$199,0),MATCH($D447,'All GHED Countries'!$D$4:$AB$4,0))),"")</f>
        <v>0.14337916370000001</v>
      </c>
    </row>
    <row r="448" spans="1:26" x14ac:dyDescent="0.2">
      <c r="A448" s="6" t="s">
        <v>156</v>
      </c>
      <c r="B448" s="6" t="s">
        <v>157</v>
      </c>
      <c r="C448" s="6"/>
      <c r="D448" s="6" t="s">
        <v>20</v>
      </c>
      <c r="E448" s="6" t="s">
        <v>453</v>
      </c>
      <c r="F448" s="7">
        <v>0.23708380944780949</v>
      </c>
      <c r="G448" s="7">
        <v>7.1986567420396538E-2</v>
      </c>
      <c r="H448" s="7">
        <v>2.4473329596196362E-2</v>
      </c>
      <c r="I448" s="7">
        <v>8.1273638927213357E-2</v>
      </c>
      <c r="J448" s="7">
        <v>0.1240134677305912</v>
      </c>
      <c r="K448" s="7">
        <v>7.4115635694306349E-3</v>
      </c>
      <c r="L448" s="7">
        <v>5.9169965886948138E-2</v>
      </c>
      <c r="M448" s="12">
        <f t="shared" si="12"/>
        <v>0.10326390196251513</v>
      </c>
      <c r="N448" s="7">
        <v>2.3675894596080511E-2</v>
      </c>
      <c r="O448" s="7">
        <v>0.16351250527554431</v>
      </c>
      <c r="P448" s="7">
        <v>0.1041353555872733</v>
      </c>
      <c r="Q448" s="7"/>
      <c r="R448" s="13">
        <f t="shared" si="13"/>
        <v>0.99999999999999889</v>
      </c>
      <c r="S448" s="7">
        <v>0</v>
      </c>
      <c r="T448" s="7">
        <v>6.4350065952105002E-5</v>
      </c>
      <c r="U448" s="7">
        <v>5.7652117207676268E-2</v>
      </c>
      <c r="V448" s="7">
        <v>3.7293698693828127E-2</v>
      </c>
      <c r="W448" s="7">
        <v>1.849256905934119E-3</v>
      </c>
      <c r="X448" s="7">
        <v>6.4044790891245127E-3</v>
      </c>
      <c r="Y448" s="7"/>
      <c r="Z448" s="14">
        <f>IFERROR(IF(INDEX('All GHED Countries'!$D$5:$AB$199,MATCH($B448,'All GHED Countries'!$B$5:$B$199,0),MATCH($D448,'All GHED Countries'!$D$4:$AB$4,0))="","",INDEX('All GHED Countries'!$D$5:$AB$199,MATCH($B448,'All GHED Countries'!$B$5:$B$199,0),MATCH($D448,'All GHED Countries'!$D$4:$AB$4,0))),"")</f>
        <v>0.14916127200000001</v>
      </c>
    </row>
    <row r="449" spans="1:26" x14ac:dyDescent="0.2">
      <c r="A449" s="6" t="s">
        <v>156</v>
      </c>
      <c r="B449" s="6" t="s">
        <v>157</v>
      </c>
      <c r="C449" s="6"/>
      <c r="D449" s="6" t="s">
        <v>21</v>
      </c>
      <c r="E449" s="6" t="s">
        <v>453</v>
      </c>
      <c r="F449" s="7">
        <v>0.1454876887194104</v>
      </c>
      <c r="G449" s="7">
        <v>7.9888561743885117E-2</v>
      </c>
      <c r="H449" s="7">
        <v>2.546188168543604E-2</v>
      </c>
      <c r="I449" s="7">
        <v>8.4514423838523922E-2</v>
      </c>
      <c r="J449" s="7">
        <v>0.1596889016565041</v>
      </c>
      <c r="K449" s="7">
        <v>7.2789321600480314E-3</v>
      </c>
      <c r="L449" s="7">
        <v>6.2930341785032026E-2</v>
      </c>
      <c r="M449" s="12">
        <f t="shared" si="12"/>
        <v>0.11279204413687081</v>
      </c>
      <c r="N449" s="7">
        <v>2.2846758739317821E-2</v>
      </c>
      <c r="O449" s="7">
        <v>0.18885142345248329</v>
      </c>
      <c r="P449" s="7">
        <v>0.1102590420824896</v>
      </c>
      <c r="Q449" s="7"/>
      <c r="R449" s="13">
        <f t="shared" si="13"/>
        <v>1.0000000000000013</v>
      </c>
      <c r="S449" s="7">
        <v>0</v>
      </c>
      <c r="T449" s="7">
        <v>5.9968397150869001E-5</v>
      </c>
      <c r="U449" s="7">
        <v>6.3465122153736495E-2</v>
      </c>
      <c r="V449" s="7">
        <v>3.9496552737713082E-2</v>
      </c>
      <c r="W449" s="7">
        <v>2.5495271297741881E-3</v>
      </c>
      <c r="X449" s="7">
        <v>7.220873718496181E-3</v>
      </c>
      <c r="Y449" s="7"/>
      <c r="Z449" s="14">
        <f>IFERROR(IF(INDEX('All GHED Countries'!$D$5:$AB$199,MATCH($B449,'All GHED Countries'!$B$5:$B$199,0),MATCH($D449,'All GHED Countries'!$D$4:$AB$4,0))="","",INDEX('All GHED Countries'!$D$5:$AB$199,MATCH($B449,'All GHED Countries'!$B$5:$B$199,0),MATCH($D449,'All GHED Countries'!$D$4:$AB$4,0))),"")</f>
        <v>0.15237735749999989</v>
      </c>
    </row>
    <row r="450" spans="1:26" x14ac:dyDescent="0.2">
      <c r="A450" s="6" t="s">
        <v>156</v>
      </c>
      <c r="B450" s="6" t="s">
        <v>157</v>
      </c>
      <c r="C450" s="6"/>
      <c r="D450" s="6" t="s">
        <v>22</v>
      </c>
      <c r="E450" s="6" t="s">
        <v>453</v>
      </c>
      <c r="F450" s="7">
        <v>0.25363190487143211</v>
      </c>
      <c r="G450" s="7">
        <v>8.9074611868854861E-2</v>
      </c>
      <c r="H450" s="7">
        <v>1.9657524741770589E-2</v>
      </c>
      <c r="I450" s="7">
        <v>8.3482219481319911E-2</v>
      </c>
      <c r="J450" s="7">
        <v>9.5584503138818389E-2</v>
      </c>
      <c r="K450" s="7">
        <v>6.8760886604958948E-3</v>
      </c>
      <c r="L450" s="7">
        <v>5.9843965787329839E-2</v>
      </c>
      <c r="M450" s="12">
        <f t="shared" si="12"/>
        <v>9.801397122443925E-2</v>
      </c>
      <c r="N450" s="7">
        <v>2.0454401494023649E-2</v>
      </c>
      <c r="O450" s="7">
        <v>0.161201608235399</v>
      </c>
      <c r="P450" s="7">
        <v>0.1121792004961171</v>
      </c>
      <c r="Q450" s="7"/>
      <c r="R450" s="13">
        <f t="shared" si="13"/>
        <v>1.0000000000000007</v>
      </c>
      <c r="S450" s="7">
        <v>0</v>
      </c>
      <c r="T450" s="7">
        <v>6.2041511579777006E-5</v>
      </c>
      <c r="U450" s="7">
        <v>5.6553550442486847E-2</v>
      </c>
      <c r="V450" s="7">
        <v>3.3531207811700638E-2</v>
      </c>
      <c r="W450" s="7">
        <v>2.2202132361463772E-3</v>
      </c>
      <c r="X450" s="7">
        <v>5.6469582225256113E-3</v>
      </c>
      <c r="Y450" s="7"/>
      <c r="Z450" s="14">
        <f>IFERROR(IF(INDEX('All GHED Countries'!$D$5:$AB$199,MATCH($B450,'All GHED Countries'!$B$5:$B$199,0),MATCH($D450,'All GHED Countries'!$D$4:$AB$4,0))="","",INDEX('All GHED Countries'!$D$5:$AB$199,MATCH($B450,'All GHED Countries'!$B$5:$B$199,0),MATCH($D450,'All GHED Countries'!$D$4:$AB$4,0))),"")</f>
        <v>0.1528983974</v>
      </c>
    </row>
    <row r="451" spans="1:26" x14ac:dyDescent="0.2">
      <c r="A451" s="6" t="s">
        <v>156</v>
      </c>
      <c r="B451" s="6" t="s">
        <v>157</v>
      </c>
      <c r="C451" s="6"/>
      <c r="D451" s="6" t="s">
        <v>23</v>
      </c>
      <c r="E451" s="6" t="s">
        <v>453</v>
      </c>
      <c r="F451" s="7">
        <v>0.12435850266008951</v>
      </c>
      <c r="G451" s="7">
        <v>9.447051030057288E-2</v>
      </c>
      <c r="H451" s="7">
        <v>2.3840467352737229E-2</v>
      </c>
      <c r="I451" s="7">
        <v>8.36208145993073E-2</v>
      </c>
      <c r="J451" s="7">
        <v>0.15181591911383779</v>
      </c>
      <c r="K451" s="7">
        <v>7.7394892688651407E-3</v>
      </c>
      <c r="L451" s="7">
        <v>5.2114771969216982E-2</v>
      </c>
      <c r="M451" s="12">
        <f t="shared" si="12"/>
        <v>0.11608400088194608</v>
      </c>
      <c r="N451" s="7">
        <v>2.2218354044727991E-2</v>
      </c>
      <c r="O451" s="7">
        <v>0.18880050813026741</v>
      </c>
      <c r="P451" s="7">
        <v>0.13493666167843121</v>
      </c>
      <c r="Q451" s="7"/>
      <c r="R451" s="13">
        <f t="shared" si="13"/>
        <v>0.99999999999999933</v>
      </c>
      <c r="S451" s="7">
        <v>0</v>
      </c>
      <c r="T451" s="7">
        <v>6.1087174746402007E-5</v>
      </c>
      <c r="U451" s="7">
        <v>6.4348267382375063E-2</v>
      </c>
      <c r="V451" s="7">
        <v>4.1602782670530122E-2</v>
      </c>
      <c r="W451" s="7">
        <v>2.8269495615560491E-3</v>
      </c>
      <c r="X451" s="7">
        <v>7.2449140927384461E-3</v>
      </c>
      <c r="Y451" s="7"/>
      <c r="Z451" s="14">
        <f>IFERROR(IF(INDEX('All GHED Countries'!$D$5:$AB$199,MATCH($B451,'All GHED Countries'!$B$5:$B$199,0),MATCH($D451,'All GHED Countries'!$D$4:$AB$4,0))="","",INDEX('All GHED Countries'!$D$5:$AB$199,MATCH($B451,'All GHED Countries'!$B$5:$B$199,0),MATCH($D451,'All GHED Countries'!$D$4:$AB$4,0))),"")</f>
        <v>0.1528983974</v>
      </c>
    </row>
    <row r="452" spans="1:26" x14ac:dyDescent="0.2">
      <c r="A452" s="6" t="s">
        <v>156</v>
      </c>
      <c r="B452" s="6" t="s">
        <v>157</v>
      </c>
      <c r="C452" s="6"/>
      <c r="D452" s="6" t="s">
        <v>24</v>
      </c>
      <c r="E452" s="6" t="s">
        <v>453</v>
      </c>
      <c r="F452" s="7">
        <v>0.1181013972350768</v>
      </c>
      <c r="G452" s="7">
        <v>9.3972319002042171E-2</v>
      </c>
      <c r="H452" s="7">
        <v>2.251929702194486E-2</v>
      </c>
      <c r="I452" s="7">
        <v>8.2105162484988725E-2</v>
      </c>
      <c r="J452" s="7">
        <v>0.1393339497231621</v>
      </c>
      <c r="K452" s="7">
        <v>6.6402858637539166E-3</v>
      </c>
      <c r="L452" s="7">
        <v>4.6401383016803043E-2</v>
      </c>
      <c r="M452" s="12">
        <f t="shared" si="12"/>
        <v>0.11497701376868322</v>
      </c>
      <c r="N452" s="7">
        <v>2.124651184751486E-2</v>
      </c>
      <c r="O452" s="7">
        <v>0.20293689914083091</v>
      </c>
      <c r="P452" s="7">
        <v>0.1517657808952009</v>
      </c>
      <c r="Q452" s="7"/>
      <c r="R452" s="13">
        <f t="shared" si="13"/>
        <v>1.0000000000000016</v>
      </c>
      <c r="S452" s="7">
        <v>6.6531023155612997E-5</v>
      </c>
      <c r="T452" s="7">
        <v>3.4922879867095402E-3</v>
      </c>
      <c r="U452" s="7">
        <v>3.8767038598421621E-2</v>
      </c>
      <c r="V452" s="7">
        <v>1.345384881949542E-2</v>
      </c>
      <c r="W452" s="7">
        <v>4.1604855046680003E-3</v>
      </c>
      <c r="X452" s="7">
        <v>5.5036821836233013E-2</v>
      </c>
      <c r="Y452" s="7"/>
      <c r="Z452" s="14">
        <f>IFERROR(IF(INDEX('All GHED Countries'!$D$5:$AB$199,MATCH($B452,'All GHED Countries'!$B$5:$B$199,0),MATCH($D452,'All GHED Countries'!$D$4:$AB$4,0))="","",INDEX('All GHED Countries'!$D$5:$AB$199,MATCH($B452,'All GHED Countries'!$B$5:$B$199,0),MATCH($D452,'All GHED Countries'!$D$4:$AB$4,0))),"")</f>
        <v>0.1528983974</v>
      </c>
    </row>
    <row r="453" spans="1:26" x14ac:dyDescent="0.2">
      <c r="A453" s="6" t="s">
        <v>156</v>
      </c>
      <c r="B453" s="6" t="s">
        <v>157</v>
      </c>
      <c r="C453" s="6"/>
      <c r="D453" s="6" t="s">
        <v>25</v>
      </c>
      <c r="E453" s="6" t="s">
        <v>453</v>
      </c>
      <c r="F453" s="7">
        <v>0.1131106180082314</v>
      </c>
      <c r="G453" s="7">
        <v>9.8492219416830298E-2</v>
      </c>
      <c r="H453" s="7">
        <v>2.3006608362191379E-2</v>
      </c>
      <c r="I453" s="7">
        <v>8.2057944444955164E-2</v>
      </c>
      <c r="J453" s="7">
        <v>0.17286835946660231</v>
      </c>
      <c r="K453" s="7">
        <v>7.4994681943060266E-3</v>
      </c>
      <c r="L453" s="7">
        <v>4.7782622337048081E-2</v>
      </c>
      <c r="M453" s="12">
        <f t="shared" ref="M453:M505" si="14">SUM(S453:Y453)</f>
        <v>0.11890104270350302</v>
      </c>
      <c r="N453" s="7">
        <v>2.2981707217583022E-2</v>
      </c>
      <c r="O453" s="7">
        <v>0.18694503579167071</v>
      </c>
      <c r="P453" s="7">
        <v>0.12635437405707869</v>
      </c>
      <c r="Q453" s="7"/>
      <c r="R453" s="13">
        <f t="shared" ref="R453:R516" si="15">SUM(F453:Q453)</f>
        <v>1</v>
      </c>
      <c r="S453" s="7">
        <v>0</v>
      </c>
      <c r="T453" s="7">
        <v>6.3227254136015003E-5</v>
      </c>
      <c r="U453" s="7">
        <v>6.4230147085522396E-2</v>
      </c>
      <c r="V453" s="7">
        <v>4.1426782298687848E-2</v>
      </c>
      <c r="W453" s="7">
        <v>5.0245477623147398E-3</v>
      </c>
      <c r="X453" s="7">
        <v>8.1563383028420162E-3</v>
      </c>
      <c r="Y453" s="7"/>
      <c r="Z453" s="14">
        <f>IFERROR(IF(INDEX('All GHED Countries'!$D$5:$AB$199,MATCH($B453,'All GHED Countries'!$B$5:$B$199,0),MATCH($D453,'All GHED Countries'!$D$4:$AB$4,0))="","",INDEX('All GHED Countries'!$D$5:$AB$199,MATCH($B453,'All GHED Countries'!$B$5:$B$199,0),MATCH($D453,'All GHED Countries'!$D$4:$AB$4,0))),"")</f>
        <v>0.1528983974</v>
      </c>
    </row>
    <row r="454" spans="1:26" x14ac:dyDescent="0.2">
      <c r="A454" s="6" t="s">
        <v>156</v>
      </c>
      <c r="B454" s="6" t="s">
        <v>157</v>
      </c>
      <c r="C454" s="6"/>
      <c r="D454" s="6" t="s">
        <v>26</v>
      </c>
      <c r="E454" s="6" t="s">
        <v>453</v>
      </c>
      <c r="F454" s="7">
        <v>9.146605840657189E-2</v>
      </c>
      <c r="G454" s="7">
        <v>0.1040629360127672</v>
      </c>
      <c r="H454" s="7">
        <v>2.160584967143651E-2</v>
      </c>
      <c r="I454" s="7">
        <v>7.7634311400494427E-2</v>
      </c>
      <c r="J454" s="7">
        <v>0.1644463558433778</v>
      </c>
      <c r="K454" s="7">
        <v>7.4101786902037274E-3</v>
      </c>
      <c r="L454" s="7">
        <v>4.2251573197486243E-2</v>
      </c>
      <c r="M454" s="12">
        <f t="shared" si="14"/>
        <v>0.12652933426177665</v>
      </c>
      <c r="N454" s="7">
        <v>1.974523874089246E-2</v>
      </c>
      <c r="O454" s="7">
        <v>0.1864886231895995</v>
      </c>
      <c r="P454" s="7">
        <v>0.15835954058539239</v>
      </c>
      <c r="Q454" s="7"/>
      <c r="R454" s="13">
        <f t="shared" si="15"/>
        <v>0.99999999999999889</v>
      </c>
      <c r="S454" s="7">
        <v>7.8796827816952E-5</v>
      </c>
      <c r="T454" s="7">
        <v>3.6795230748659568E-3</v>
      </c>
      <c r="U454" s="7">
        <v>4.1195361952730138E-2</v>
      </c>
      <c r="V454" s="7">
        <v>1.6162328002809149E-2</v>
      </c>
      <c r="W454" s="7">
        <v>8.3443513882713299E-3</v>
      </c>
      <c r="X454" s="7">
        <v>5.706897301528311E-2</v>
      </c>
      <c r="Y454" s="7"/>
      <c r="Z454" s="14">
        <f>IFERROR(IF(INDEX('All GHED Countries'!$D$5:$AB$199,MATCH($B454,'All GHED Countries'!$B$5:$B$199,0),MATCH($D454,'All GHED Countries'!$D$4:$AB$4,0))="","",INDEX('All GHED Countries'!$D$5:$AB$199,MATCH($B454,'All GHED Countries'!$B$5:$B$199,0),MATCH($D454,'All GHED Countries'!$D$4:$AB$4,0))),"")</f>
        <v>0.16885675429999999</v>
      </c>
    </row>
    <row r="455" spans="1:26" x14ac:dyDescent="0.2">
      <c r="A455" s="6" t="s">
        <v>156</v>
      </c>
      <c r="B455" s="6" t="s">
        <v>157</v>
      </c>
      <c r="C455" s="6"/>
      <c r="D455" s="6" t="s">
        <v>27</v>
      </c>
      <c r="E455" s="6" t="s">
        <v>453</v>
      </c>
      <c r="F455" s="7">
        <v>6.8066189052617479E-2</v>
      </c>
      <c r="G455" s="7">
        <v>0.114283086676742</v>
      </c>
      <c r="H455" s="7">
        <v>2.1261198389907279E-2</v>
      </c>
      <c r="I455" s="7">
        <v>7.7731243874676628E-2</v>
      </c>
      <c r="J455" s="7">
        <v>0.16778555416667179</v>
      </c>
      <c r="K455" s="7">
        <v>6.1357521266895629E-3</v>
      </c>
      <c r="L455" s="7">
        <v>4.3109753669853958E-2</v>
      </c>
      <c r="M455" s="12">
        <f t="shared" si="14"/>
        <v>0.12530324009673913</v>
      </c>
      <c r="N455" s="7">
        <v>2.0356538533482332E-2</v>
      </c>
      <c r="O455" s="7">
        <v>0.21458803110586561</v>
      </c>
      <c r="P455" s="7">
        <v>0.1413794123067551</v>
      </c>
      <c r="Q455" s="7"/>
      <c r="R455" s="13">
        <f t="shared" si="15"/>
        <v>1.0000000000000009</v>
      </c>
      <c r="S455" s="7">
        <v>6.2343720001212997E-5</v>
      </c>
      <c r="T455" s="7">
        <v>3.5784506119683908E-3</v>
      </c>
      <c r="U455" s="7">
        <v>4.0838192232235962E-2</v>
      </c>
      <c r="V455" s="7">
        <v>1.8191199483438409E-2</v>
      </c>
      <c r="W455" s="7">
        <v>7.4766830765898417E-3</v>
      </c>
      <c r="X455" s="7">
        <v>5.5156370972505302E-2</v>
      </c>
      <c r="Y455" s="7"/>
      <c r="Z455" s="14">
        <f>IFERROR(IF(INDEX('All GHED Countries'!$D$5:$AB$199,MATCH($B455,'All GHED Countries'!$B$5:$B$199,0),MATCH($D455,'All GHED Countries'!$D$4:$AB$4,0))="","",INDEX('All GHED Countries'!$D$5:$AB$199,MATCH($B455,'All GHED Countries'!$B$5:$B$199,0),MATCH($D455,'All GHED Countries'!$D$4:$AB$4,0))),"")</f>
        <v>0.16885675429999999</v>
      </c>
    </row>
    <row r="456" spans="1:26" x14ac:dyDescent="0.2">
      <c r="A456" s="6" t="s">
        <v>156</v>
      </c>
      <c r="B456" s="6" t="s">
        <v>157</v>
      </c>
      <c r="C456" s="6"/>
      <c r="D456" s="6" t="s">
        <v>28</v>
      </c>
      <c r="E456" s="6" t="s">
        <v>453</v>
      </c>
      <c r="F456" s="7">
        <v>6.5488401883632502E-2</v>
      </c>
      <c r="G456" s="7">
        <v>0.12203609144837051</v>
      </c>
      <c r="H456" s="7">
        <v>2.1266526146718E-2</v>
      </c>
      <c r="I456" s="7">
        <v>7.4810409372062972E-2</v>
      </c>
      <c r="J456" s="7">
        <v>0.18433464586879461</v>
      </c>
      <c r="K456" s="7">
        <v>7.1364161285311896E-3</v>
      </c>
      <c r="L456" s="7">
        <v>4.3549074076233048E-2</v>
      </c>
      <c r="M456" s="12">
        <f t="shared" si="14"/>
        <v>0.11682258736448876</v>
      </c>
      <c r="N456" s="7">
        <v>1.7829484481983592E-2</v>
      </c>
      <c r="O456" s="7">
        <v>0.2150122638745173</v>
      </c>
      <c r="P456" s="7">
        <v>0.13171409935466741</v>
      </c>
      <c r="Q456" s="7"/>
      <c r="R456" s="13">
        <f t="shared" si="15"/>
        <v>1</v>
      </c>
      <c r="S456" s="7">
        <v>6.6073920988034997E-5</v>
      </c>
      <c r="T456" s="7">
        <v>3.7159239008993442E-3</v>
      </c>
      <c r="U456" s="7">
        <v>3.8533183792792039E-2</v>
      </c>
      <c r="V456" s="7">
        <v>1.4816957114354471E-2</v>
      </c>
      <c r="W456" s="7">
        <v>5.925816477939605E-3</v>
      </c>
      <c r="X456" s="7">
        <v>5.3764632157515271E-2</v>
      </c>
      <c r="Y456" s="7"/>
      <c r="Z456" s="14">
        <f>IFERROR(IF(INDEX('All GHED Countries'!$D$5:$AB$199,MATCH($B456,'All GHED Countries'!$B$5:$B$199,0),MATCH($D456,'All GHED Countries'!$D$4:$AB$4,0))="","",INDEX('All GHED Countries'!$D$5:$AB$199,MATCH($B456,'All GHED Countries'!$B$5:$B$199,0),MATCH($D456,'All GHED Countries'!$D$4:$AB$4,0))),"")</f>
        <v>0.16885675429999999</v>
      </c>
    </row>
    <row r="457" spans="1:26" x14ac:dyDescent="0.2">
      <c r="A457" s="6" t="s">
        <v>156</v>
      </c>
      <c r="B457" s="6" t="s">
        <v>157</v>
      </c>
      <c r="C457" s="6"/>
      <c r="D457" s="6" t="s">
        <v>29</v>
      </c>
      <c r="E457" s="6" t="s">
        <v>453</v>
      </c>
      <c r="F457" s="7">
        <v>8.3156690160432603E-2</v>
      </c>
      <c r="G457" s="7">
        <v>0.1308914091110748</v>
      </c>
      <c r="H457" s="7">
        <v>1.9041400098904631E-2</v>
      </c>
      <c r="I457" s="7">
        <v>7.4372559568428698E-2</v>
      </c>
      <c r="J457" s="7">
        <v>0.1751305596595277</v>
      </c>
      <c r="K457" s="7">
        <v>7.4136326507037399E-3</v>
      </c>
      <c r="L457" s="7">
        <v>4.1805326101958307E-2</v>
      </c>
      <c r="M457" s="12">
        <f t="shared" si="14"/>
        <v>0.11183754160994414</v>
      </c>
      <c r="N457" s="7">
        <v>1.863871043135568E-2</v>
      </c>
      <c r="O457" s="7">
        <v>0.20877058632302811</v>
      </c>
      <c r="P457" s="7">
        <v>0.12894158428464211</v>
      </c>
      <c r="Q457" s="7"/>
      <c r="R457" s="13">
        <f t="shared" si="15"/>
        <v>1.0000000000000004</v>
      </c>
      <c r="S457" s="7">
        <v>6.1423875714532002E-5</v>
      </c>
      <c r="T457" s="7">
        <v>3.6916092454577941E-3</v>
      </c>
      <c r="U457" s="7">
        <v>3.6226316056309479E-2</v>
      </c>
      <c r="V457" s="7">
        <v>1.265858437929834E-2</v>
      </c>
      <c r="W457" s="7">
        <v>6.355444691547669E-3</v>
      </c>
      <c r="X457" s="7">
        <v>5.2844163361616327E-2</v>
      </c>
      <c r="Y457" s="7"/>
      <c r="Z457" s="14">
        <f>IFERROR(IF(INDEX('All GHED Countries'!$D$5:$AB$199,MATCH($B457,'All GHED Countries'!$B$5:$B$199,0),MATCH($D457,'All GHED Countries'!$D$4:$AB$4,0))="","",INDEX('All GHED Countries'!$D$5:$AB$199,MATCH($B457,'All GHED Countries'!$B$5:$B$199,0),MATCH($D457,'All GHED Countries'!$D$4:$AB$4,0))),"")</f>
        <v>0.16885675429999999</v>
      </c>
    </row>
    <row r="458" spans="1:26" x14ac:dyDescent="0.2">
      <c r="A458" s="6" t="s">
        <v>156</v>
      </c>
      <c r="B458" s="6" t="s">
        <v>157</v>
      </c>
      <c r="C458" s="6"/>
      <c r="D458" s="6" t="s">
        <v>30</v>
      </c>
      <c r="E458" s="6" t="s">
        <v>453</v>
      </c>
      <c r="F458" s="7">
        <v>9.0396834705662205E-2</v>
      </c>
      <c r="G458" s="7">
        <v>0.13689856347582929</v>
      </c>
      <c r="H458" s="7">
        <v>1.9215283271504069E-2</v>
      </c>
      <c r="I458" s="7">
        <v>7.3042923867164919E-2</v>
      </c>
      <c r="J458" s="7">
        <v>0.17238433535186851</v>
      </c>
      <c r="K458" s="7">
        <v>6.8101761868638146E-3</v>
      </c>
      <c r="L458" s="7">
        <v>4.1400455667544057E-2</v>
      </c>
      <c r="M458" s="12">
        <f t="shared" si="14"/>
        <v>0.10731209560619466</v>
      </c>
      <c r="N458" s="7">
        <v>1.7611671105889459E-2</v>
      </c>
      <c r="O458" s="7">
        <v>0.20506598078574531</v>
      </c>
      <c r="P458" s="7">
        <v>0.12986167997573519</v>
      </c>
      <c r="Q458" s="7"/>
      <c r="R458" s="13">
        <f t="shared" si="15"/>
        <v>1.0000000000000016</v>
      </c>
      <c r="S458" s="7">
        <v>5.7912023296780002E-5</v>
      </c>
      <c r="T458" s="7">
        <v>3.3548647925310759E-3</v>
      </c>
      <c r="U458" s="7">
        <v>3.5714083885902519E-2</v>
      </c>
      <c r="V458" s="7">
        <v>1.260913541370947E-2</v>
      </c>
      <c r="W458" s="7">
        <v>5.8646585647448802E-3</v>
      </c>
      <c r="X458" s="7">
        <v>4.9711440926009938E-2</v>
      </c>
      <c r="Y458" s="7"/>
      <c r="Z458" s="14" t="str">
        <f>IFERROR(IF(INDEX('All GHED Countries'!$D$5:$AB$199,MATCH($B458,'All GHED Countries'!$B$5:$B$199,0),MATCH($D458,'All GHED Countries'!$D$4:$AB$4,0))="","",INDEX('All GHED Countries'!$D$5:$AB$199,MATCH($B458,'All GHED Countries'!$B$5:$B$199,0),MATCH($D458,'All GHED Countries'!$D$4:$AB$4,0))),"")</f>
        <v/>
      </c>
    </row>
    <row r="459" spans="1:26" x14ac:dyDescent="0.2">
      <c r="A459" s="6" t="s">
        <v>160</v>
      </c>
      <c r="B459" s="6" t="s">
        <v>161</v>
      </c>
      <c r="C459" s="6"/>
      <c r="D459" s="6" t="s">
        <v>27</v>
      </c>
      <c r="E459" s="6" t="s">
        <v>453</v>
      </c>
      <c r="F459" s="7">
        <v>8.9527116996606745E-2</v>
      </c>
      <c r="G459" s="7">
        <v>3.926181266548355E-2</v>
      </c>
      <c r="H459" s="7">
        <v>7.324519031194332E-2</v>
      </c>
      <c r="I459" s="7">
        <v>0</v>
      </c>
      <c r="J459" s="7">
        <v>0.25611753244439922</v>
      </c>
      <c r="K459" s="7">
        <v>6.8529605032313298E-4</v>
      </c>
      <c r="L459" s="7">
        <v>5.4978026910609462E-2</v>
      </c>
      <c r="M459" s="12">
        <f t="shared" si="14"/>
        <v>0.10469384948258868</v>
      </c>
      <c r="N459" s="7">
        <v>3.9727265499120111E-2</v>
      </c>
      <c r="O459" s="7">
        <v>0.2040312940915977</v>
      </c>
      <c r="P459" s="7">
        <v>0.1377326155473281</v>
      </c>
      <c r="Q459" s="7"/>
      <c r="R459" s="13">
        <f t="shared" si="15"/>
        <v>0.99999999999999989</v>
      </c>
      <c r="S459" s="7">
        <v>8.2680785500320805E-3</v>
      </c>
      <c r="T459" s="7">
        <v>2.110979978434422E-2</v>
      </c>
      <c r="U459" s="7">
        <v>3.4878739877622932E-2</v>
      </c>
      <c r="V459" s="7">
        <v>1.518145053040419E-2</v>
      </c>
      <c r="W459" s="7">
        <v>2.9805658457851401E-4</v>
      </c>
      <c r="X459" s="7">
        <v>2.495772415560674E-2</v>
      </c>
      <c r="Y459" s="7"/>
      <c r="Z459" s="14">
        <f>IFERROR(IF(INDEX('All GHED Countries'!$D$5:$AB$199,MATCH($B459,'All GHED Countries'!$B$5:$B$199,0),MATCH($D459,'All GHED Countries'!$D$4:$AB$4,0))="","",INDEX('All GHED Countries'!$D$5:$AB$199,MATCH($B459,'All GHED Countries'!$B$5:$B$199,0),MATCH($D459,'All GHED Countries'!$D$4:$AB$4,0))),"")</f>
        <v>7.0209379199999991E-2</v>
      </c>
    </row>
    <row r="460" spans="1:26" x14ac:dyDescent="0.2">
      <c r="A460" s="6" t="s">
        <v>160</v>
      </c>
      <c r="B460" s="6" t="s">
        <v>161</v>
      </c>
      <c r="C460" s="6"/>
      <c r="D460" s="6" t="s">
        <v>28</v>
      </c>
      <c r="E460" s="6" t="s">
        <v>453</v>
      </c>
      <c r="F460" s="7">
        <v>5.7228702811305251E-2</v>
      </c>
      <c r="G460" s="7">
        <v>2.8671939143192871E-2</v>
      </c>
      <c r="H460" s="7">
        <v>9.6403879933405767E-2</v>
      </c>
      <c r="I460" s="7">
        <v>3.4076965645829999E-6</v>
      </c>
      <c r="J460" s="7">
        <v>0.29031147979064109</v>
      </c>
      <c r="K460" s="7">
        <v>1.2530520048584189E-3</v>
      </c>
      <c r="L460" s="7">
        <v>5.2207867944560303E-2</v>
      </c>
      <c r="M460" s="12">
        <f t="shared" si="14"/>
        <v>8.2199913973698968E-2</v>
      </c>
      <c r="N460" s="7">
        <v>3.8906493569358311E-2</v>
      </c>
      <c r="O460" s="7">
        <v>0.21354770730053271</v>
      </c>
      <c r="P460" s="7">
        <v>0.13926555583188169</v>
      </c>
      <c r="Q460" s="7"/>
      <c r="R460" s="13">
        <f t="shared" si="15"/>
        <v>1</v>
      </c>
      <c r="S460" s="7">
        <v>1.6990267441649831E-3</v>
      </c>
      <c r="T460" s="7">
        <v>3.65753438459467E-3</v>
      </c>
      <c r="U460" s="7">
        <v>5.7459915520080999E-2</v>
      </c>
      <c r="V460" s="7">
        <v>5.6036652885068979E-3</v>
      </c>
      <c r="W460" s="7">
        <v>2.8307287239281499E-4</v>
      </c>
      <c r="X460" s="7">
        <v>1.3496699163958591E-2</v>
      </c>
      <c r="Y460" s="7"/>
      <c r="Z460" s="14">
        <f>IFERROR(IF(INDEX('All GHED Countries'!$D$5:$AB$199,MATCH($B460,'All GHED Countries'!$B$5:$B$199,0),MATCH($D460,'All GHED Countries'!$D$4:$AB$4,0))="","",INDEX('All GHED Countries'!$D$5:$AB$199,MATCH($B460,'All GHED Countries'!$B$5:$B$199,0),MATCH($D460,'All GHED Countries'!$D$4:$AB$4,0))),"")</f>
        <v>6.3917908700000012E-2</v>
      </c>
    </row>
    <row r="461" spans="1:26" x14ac:dyDescent="0.2">
      <c r="A461" s="6" t="s">
        <v>160</v>
      </c>
      <c r="B461" s="6" t="s">
        <v>161</v>
      </c>
      <c r="C461" s="6"/>
      <c r="D461" s="6" t="s">
        <v>29</v>
      </c>
      <c r="E461" s="6" t="s">
        <v>453</v>
      </c>
      <c r="F461" s="7">
        <v>5.7313623199120881E-2</v>
      </c>
      <c r="G461" s="7">
        <v>2.210911376427754E-2</v>
      </c>
      <c r="H461" s="7">
        <v>0.1128713511237955</v>
      </c>
      <c r="I461" s="7">
        <v>0</v>
      </c>
      <c r="J461" s="7">
        <v>0.3237743219657736</v>
      </c>
      <c r="K461" s="7">
        <v>2.0392252912773849E-2</v>
      </c>
      <c r="L461" s="7">
        <v>3.3251843637436579E-2</v>
      </c>
      <c r="M461" s="12">
        <f t="shared" si="14"/>
        <v>8.7807128494313713E-2</v>
      </c>
      <c r="N461" s="7">
        <v>3.6213232664253921E-2</v>
      </c>
      <c r="O461" s="7">
        <v>0.19665792294496309</v>
      </c>
      <c r="P461" s="7">
        <v>0.10960920929329129</v>
      </c>
      <c r="Q461" s="7"/>
      <c r="R461" s="13">
        <f t="shared" si="15"/>
        <v>1</v>
      </c>
      <c r="S461" s="7">
        <v>1.866130282847646E-3</v>
      </c>
      <c r="T461" s="7">
        <v>2.2128190835545101E-3</v>
      </c>
      <c r="U461" s="7">
        <v>4.4859975275537728E-2</v>
      </c>
      <c r="V461" s="7">
        <v>3.630737773645467E-2</v>
      </c>
      <c r="W461" s="7">
        <v>2.77726827428346E-4</v>
      </c>
      <c r="X461" s="7">
        <v>2.2830992884908161E-3</v>
      </c>
      <c r="Y461" s="7"/>
      <c r="Z461" s="14">
        <f>IFERROR(IF(INDEX('All GHED Countries'!$D$5:$AB$199,MATCH($B461,'All GHED Countries'!$B$5:$B$199,0),MATCH($D461,'All GHED Countries'!$D$4:$AB$4,0))="","",INDEX('All GHED Countries'!$D$5:$AB$199,MATCH($B461,'All GHED Countries'!$B$5:$B$199,0),MATCH($D461,'All GHED Countries'!$D$4:$AB$4,0))),"")</f>
        <v>6.1385097499999992E-2</v>
      </c>
    </row>
    <row r="462" spans="1:26" x14ac:dyDescent="0.2">
      <c r="A462" s="6" t="s">
        <v>160</v>
      </c>
      <c r="B462" s="6" t="s">
        <v>161</v>
      </c>
      <c r="C462" s="6"/>
      <c r="D462" s="6" t="s">
        <v>30</v>
      </c>
      <c r="E462" s="6" t="s">
        <v>453</v>
      </c>
      <c r="F462" s="7">
        <v>5.8578824477744353E-2</v>
      </c>
      <c r="G462" s="7">
        <v>2.2213863155693139E-2</v>
      </c>
      <c r="H462" s="7">
        <v>0.1163426290947966</v>
      </c>
      <c r="I462" s="7">
        <v>0</v>
      </c>
      <c r="J462" s="7">
        <v>0.25570155319407528</v>
      </c>
      <c r="K462" s="7">
        <v>1.5049708889103799E-2</v>
      </c>
      <c r="L462" s="7">
        <v>3.9502908051979722E-2</v>
      </c>
      <c r="M462" s="12">
        <f t="shared" si="14"/>
        <v>9.1661732782403874E-2</v>
      </c>
      <c r="N462" s="7">
        <v>5.418667214398229E-2</v>
      </c>
      <c r="O462" s="7">
        <v>0.2069526017426076</v>
      </c>
      <c r="P462" s="7">
        <v>0.13980950646761339</v>
      </c>
      <c r="Q462" s="7"/>
      <c r="R462" s="13">
        <f t="shared" si="15"/>
        <v>1.0000000000000002</v>
      </c>
      <c r="S462" s="7">
        <v>4.7971671474447714E-3</v>
      </c>
      <c r="T462" s="7">
        <v>2.391546711274201E-3</v>
      </c>
      <c r="U462" s="7">
        <v>3.8710252294964172E-2</v>
      </c>
      <c r="V462" s="7">
        <v>2.6756125094327132E-2</v>
      </c>
      <c r="W462" s="7">
        <v>3.13187466882383E-4</v>
      </c>
      <c r="X462" s="7">
        <v>1.8693454067511221E-2</v>
      </c>
      <c r="Y462" s="7"/>
      <c r="Z462" s="14" t="str">
        <f>IFERROR(IF(INDEX('All GHED Countries'!$D$5:$AB$199,MATCH($B462,'All GHED Countries'!$B$5:$B$199,0),MATCH($D462,'All GHED Countries'!$D$4:$AB$4,0))="","",INDEX('All GHED Countries'!$D$5:$AB$199,MATCH($B462,'All GHED Countries'!$B$5:$B$199,0),MATCH($D462,'All GHED Countries'!$D$4:$AB$4,0))),"")</f>
        <v/>
      </c>
    </row>
    <row r="463" spans="1:26" x14ac:dyDescent="0.2">
      <c r="A463" s="6" t="s">
        <v>162</v>
      </c>
      <c r="B463" s="6" t="s">
        <v>163</v>
      </c>
      <c r="C463" s="6"/>
      <c r="D463" s="6" t="s">
        <v>18</v>
      </c>
      <c r="E463" s="6" t="s">
        <v>453</v>
      </c>
      <c r="F463" s="7">
        <v>0.122360532924601</v>
      </c>
      <c r="G463" s="7"/>
      <c r="H463" s="7">
        <v>2.74228730189367E-2</v>
      </c>
      <c r="I463" s="7">
        <v>3.3632991896776397E-2</v>
      </c>
      <c r="J463" s="7">
        <v>0.39990790608454801</v>
      </c>
      <c r="K463" s="7">
        <v>1.65715818716021E-3</v>
      </c>
      <c r="L463" s="7">
        <v>1.38323986043136E-2</v>
      </c>
      <c r="M463" s="12">
        <f t="shared" si="14"/>
        <v>3.6604454325883398E-2</v>
      </c>
      <c r="N463" s="7">
        <v>6.7007010251206797E-3</v>
      </c>
      <c r="O463" s="7">
        <v>7.4816728245018699E-2</v>
      </c>
      <c r="P463" s="7">
        <v>0.110199570950044</v>
      </c>
      <c r="Q463" s="7">
        <v>0.17286468473759731</v>
      </c>
      <c r="R463" s="13">
        <f t="shared" si="15"/>
        <v>1</v>
      </c>
      <c r="S463" s="7"/>
      <c r="T463" s="7"/>
      <c r="U463" s="7"/>
      <c r="V463" s="7"/>
      <c r="W463" s="7"/>
      <c r="X463" s="7"/>
      <c r="Y463" s="7">
        <v>3.6604454325883398E-2</v>
      </c>
      <c r="Z463" s="14">
        <f>IFERROR(IF(INDEX('All GHED Countries'!$D$5:$AB$199,MATCH($B463,'All GHED Countries'!$B$5:$B$199,0),MATCH($D463,'All GHED Countries'!$D$4:$AB$4,0))="","",INDEX('All GHED Countries'!$D$5:$AB$199,MATCH($B463,'All GHED Countries'!$B$5:$B$199,0),MATCH($D463,'All GHED Countries'!$D$4:$AB$4,0))),"")</f>
        <v>3.2064051599999997E-2</v>
      </c>
    </row>
    <row r="464" spans="1:26" x14ac:dyDescent="0.2">
      <c r="A464" s="6" t="s">
        <v>164</v>
      </c>
      <c r="B464" s="6" t="s">
        <v>165</v>
      </c>
      <c r="C464" s="6"/>
      <c r="D464" s="6" t="s">
        <v>29</v>
      </c>
      <c r="E464" s="6" t="s">
        <v>452</v>
      </c>
      <c r="F464" s="7">
        <v>0.2857947377064054</v>
      </c>
      <c r="G464" s="7"/>
      <c r="H464" s="7">
        <v>8.026046176360771E-2</v>
      </c>
      <c r="I464" s="7">
        <v>2.0896772478462351E-2</v>
      </c>
      <c r="J464" s="7">
        <v>0.22232473845006029</v>
      </c>
      <c r="K464" s="7">
        <v>1.0970744051453679E-2</v>
      </c>
      <c r="L464" s="7">
        <v>3.153621515607663E-2</v>
      </c>
      <c r="M464" s="12">
        <f t="shared" si="14"/>
        <v>7.2866960952306409E-2</v>
      </c>
      <c r="N464" s="7">
        <v>6.6942874469390137E-3</v>
      </c>
      <c r="O464" s="7">
        <v>0.14519250135258219</v>
      </c>
      <c r="P464" s="7">
        <v>0.12346258064210899</v>
      </c>
      <c r="Q464" s="7"/>
      <c r="R464" s="13">
        <f t="shared" si="15"/>
        <v>1.0000000000000027</v>
      </c>
      <c r="S464" s="7">
        <v>1.3543253999608511E-3</v>
      </c>
      <c r="T464" s="7">
        <v>4.7892920483146012E-5</v>
      </c>
      <c r="U464" s="7">
        <v>7.900078387849176E-3</v>
      </c>
      <c r="V464" s="7">
        <v>3.0311018733985631E-2</v>
      </c>
      <c r="W464" s="7">
        <v>3.420922891653E-6</v>
      </c>
      <c r="X464" s="7">
        <v>3.3250224587135939E-2</v>
      </c>
      <c r="Y464" s="7"/>
      <c r="Z464" s="14">
        <f>IFERROR(IF(INDEX('All GHED Countries'!$D$5:$AB$199,MATCH($B464,'All GHED Countries'!$B$5:$B$199,0),MATCH($D464,'All GHED Countries'!$D$4:$AB$4,0))="","",INDEX('All GHED Countries'!$D$5:$AB$199,MATCH($B464,'All GHED Countries'!$B$5:$B$199,0),MATCH($D464,'All GHED Countries'!$D$4:$AB$4,0))),"")</f>
        <v>2.5608844799999999E-2</v>
      </c>
    </row>
    <row r="465" spans="1:26" x14ac:dyDescent="0.2">
      <c r="A465" s="6" t="s">
        <v>166</v>
      </c>
      <c r="B465" s="6" t="s">
        <v>167</v>
      </c>
      <c r="C465" s="6" t="s">
        <v>49</v>
      </c>
      <c r="D465" s="6" t="s">
        <v>11</v>
      </c>
      <c r="E465" s="6" t="s">
        <v>452</v>
      </c>
      <c r="F465" s="7">
        <v>0.15966796224084251</v>
      </c>
      <c r="G465" s="7">
        <v>7.3956868938486131E-2</v>
      </c>
      <c r="H465" s="7">
        <v>0.11540534987390159</v>
      </c>
      <c r="I465" s="7">
        <v>7.5442431540305804E-2</v>
      </c>
      <c r="J465" s="7">
        <v>0.17461826339527031</v>
      </c>
      <c r="K465" s="7">
        <v>4.8297807618797629E-3</v>
      </c>
      <c r="L465" s="7">
        <v>3.051073658833954E-2</v>
      </c>
      <c r="M465" s="12">
        <f t="shared" si="14"/>
        <v>0.11057268918509211</v>
      </c>
      <c r="N465" s="7">
        <v>3.0066715978522098E-4</v>
      </c>
      <c r="O465" s="7">
        <v>0.20004145699129361</v>
      </c>
      <c r="P465" s="7">
        <v>5.4932284082192681E-2</v>
      </c>
      <c r="Q465" s="7"/>
      <c r="R465" s="13">
        <f t="shared" si="15"/>
        <v>1.0002784907573894</v>
      </c>
      <c r="S465" s="7"/>
      <c r="T465" s="7"/>
      <c r="U465" s="7">
        <v>3.1684716285841387E-2</v>
      </c>
      <c r="V465" s="7">
        <v>5.5258531162955052E-2</v>
      </c>
      <c r="W465" s="7"/>
      <c r="X465" s="7"/>
      <c r="Y465" s="7">
        <v>2.3629441736295661E-2</v>
      </c>
      <c r="Z465" s="14">
        <f>IFERROR(IF(INDEX('All GHED Countries'!$D$5:$AB$199,MATCH($B465,'All GHED Countries'!$B$5:$B$199,0),MATCH($D465,'All GHED Countries'!$D$4:$AB$4,0))="","",INDEX('All GHED Countries'!$D$5:$AB$199,MATCH($B465,'All GHED Countries'!$B$5:$B$199,0),MATCH($D465,'All GHED Countries'!$D$4:$AB$4,0))),"")</f>
        <v>7.1352629700000017E-2</v>
      </c>
    </row>
    <row r="466" spans="1:26" x14ac:dyDescent="0.2">
      <c r="A466" s="6" t="s">
        <v>166</v>
      </c>
      <c r="B466" s="6" t="s">
        <v>167</v>
      </c>
      <c r="C466" s="6" t="s">
        <v>49</v>
      </c>
      <c r="D466" s="6" t="s">
        <v>12</v>
      </c>
      <c r="E466" s="6" t="s">
        <v>452</v>
      </c>
      <c r="F466" s="7">
        <v>0.20321494226827419</v>
      </c>
      <c r="G466" s="7">
        <v>7.1652621236392808E-2</v>
      </c>
      <c r="H466" s="7">
        <v>0.10793808245588531</v>
      </c>
      <c r="I466" s="7">
        <v>7.6555683641038583E-2</v>
      </c>
      <c r="J466" s="7">
        <v>0.1657704776441743</v>
      </c>
      <c r="K466" s="7">
        <v>3.2220116686395841E-3</v>
      </c>
      <c r="L466" s="7">
        <v>2.7993316921293379E-2</v>
      </c>
      <c r="M466" s="12">
        <f t="shared" si="14"/>
        <v>0.1027151284412807</v>
      </c>
      <c r="N466" s="7">
        <v>1.9783430098090101E-4</v>
      </c>
      <c r="O466" s="7">
        <v>0.1858844710157809</v>
      </c>
      <c r="P466" s="7">
        <v>5.4855430406258197E-2</v>
      </c>
      <c r="Q466" s="7"/>
      <c r="R466" s="13">
        <f t="shared" si="15"/>
        <v>0.99999999999999878</v>
      </c>
      <c r="S466" s="7"/>
      <c r="T466" s="7">
        <v>3.9147264551131299E-4</v>
      </c>
      <c r="U466" s="7">
        <v>2.480800245086277E-2</v>
      </c>
      <c r="V466" s="7">
        <v>5.6319779334812393E-2</v>
      </c>
      <c r="W466" s="7"/>
      <c r="X466" s="7"/>
      <c r="Y466" s="7">
        <v>2.1195874010094221E-2</v>
      </c>
      <c r="Z466" s="14">
        <f>IFERROR(IF(INDEX('All GHED Countries'!$D$5:$AB$199,MATCH($B466,'All GHED Countries'!$B$5:$B$199,0),MATCH($D466,'All GHED Countries'!$D$4:$AB$4,0))="","",INDEX('All GHED Countries'!$D$5:$AB$199,MATCH($B466,'All GHED Countries'!$B$5:$B$199,0),MATCH($D466,'All GHED Countries'!$D$4:$AB$4,0))),"")</f>
        <v>7.1609377900000007E-2</v>
      </c>
    </row>
    <row r="467" spans="1:26" x14ac:dyDescent="0.2">
      <c r="A467" s="6" t="s">
        <v>166</v>
      </c>
      <c r="B467" s="6" t="s">
        <v>167</v>
      </c>
      <c r="C467" s="6" t="s">
        <v>49</v>
      </c>
      <c r="D467" s="6" t="s">
        <v>13</v>
      </c>
      <c r="E467" s="6" t="s">
        <v>452</v>
      </c>
      <c r="F467" s="7">
        <v>0.20162540467942569</v>
      </c>
      <c r="G467" s="7">
        <v>5.9734189880700013E-2</v>
      </c>
      <c r="H467" s="7">
        <v>0.10302874981202401</v>
      </c>
      <c r="I467" s="7">
        <v>6.1578566764718651E-2</v>
      </c>
      <c r="J467" s="7">
        <v>0.23034640481383989</v>
      </c>
      <c r="K467" s="7">
        <v>5.1841452342157712E-3</v>
      </c>
      <c r="L467" s="7">
        <v>2.9228121216001629E-2</v>
      </c>
      <c r="M467" s="12">
        <f t="shared" si="14"/>
        <v>8.3861266382258576E-2</v>
      </c>
      <c r="N467" s="7">
        <v>2.55330347141391E-4</v>
      </c>
      <c r="O467" s="7">
        <v>0.17857762017996059</v>
      </c>
      <c r="P467" s="7">
        <v>4.6488434944106691E-2</v>
      </c>
      <c r="Q467" s="7"/>
      <c r="R467" s="13">
        <f t="shared" si="15"/>
        <v>0.99990823425439279</v>
      </c>
      <c r="S467" s="7"/>
      <c r="T467" s="7">
        <v>3.64997262176281E-4</v>
      </c>
      <c r="U467" s="7">
        <v>2.154946122967764E-2</v>
      </c>
      <c r="V467" s="7">
        <v>3.1169984419499589E-2</v>
      </c>
      <c r="W467" s="7"/>
      <c r="X467" s="7"/>
      <c r="Y467" s="7">
        <v>3.077682347090506E-2</v>
      </c>
      <c r="Z467" s="14">
        <f>IFERROR(IF(INDEX('All GHED Countries'!$D$5:$AB$199,MATCH($B467,'All GHED Countries'!$B$5:$B$199,0),MATCH($D467,'All GHED Countries'!$D$4:$AB$4,0))="","",INDEX('All GHED Countries'!$D$5:$AB$199,MATCH($B467,'All GHED Countries'!$B$5:$B$199,0),MATCH($D467,'All GHED Countries'!$D$4:$AB$4,0))),"")</f>
        <v>7.7929120099999999E-2</v>
      </c>
    </row>
    <row r="468" spans="1:26" x14ac:dyDescent="0.2">
      <c r="A468" s="6" t="s">
        <v>166</v>
      </c>
      <c r="B468" s="6" t="s">
        <v>167</v>
      </c>
      <c r="C468" s="6" t="s">
        <v>49</v>
      </c>
      <c r="D468" s="6" t="s">
        <v>14</v>
      </c>
      <c r="E468" s="6" t="s">
        <v>452</v>
      </c>
      <c r="F468" s="7">
        <v>0.2228596745634718</v>
      </c>
      <c r="G468" s="7">
        <v>7.1655465519721448E-2</v>
      </c>
      <c r="H468" s="7">
        <v>0.10405724839414721</v>
      </c>
      <c r="I468" s="7">
        <v>6.2383630833612841E-2</v>
      </c>
      <c r="J468" s="7">
        <v>0.20973285172620801</v>
      </c>
      <c r="K468" s="7">
        <v>3.0270208264609601E-3</v>
      </c>
      <c r="L468" s="7">
        <v>3.046042541805882E-2</v>
      </c>
      <c r="M468" s="12">
        <f t="shared" si="14"/>
        <v>8.2588990668567425E-2</v>
      </c>
      <c r="N468" s="7">
        <v>5.1772845299702397E-4</v>
      </c>
      <c r="O468" s="7">
        <v>0.17512089951205681</v>
      </c>
      <c r="P468" s="7">
        <v>3.7614354628700719E-2</v>
      </c>
      <c r="Q468" s="7"/>
      <c r="R468" s="13">
        <f t="shared" si="15"/>
        <v>1.0000182905440032</v>
      </c>
      <c r="S468" s="7"/>
      <c r="T468" s="7">
        <v>3.5910191707008802E-4</v>
      </c>
      <c r="U468" s="7">
        <v>2.197792268308122E-2</v>
      </c>
      <c r="V468" s="7">
        <v>3.4106816010573422E-2</v>
      </c>
      <c r="W468" s="7"/>
      <c r="X468" s="7"/>
      <c r="Y468" s="7">
        <v>2.6145150057842691E-2</v>
      </c>
      <c r="Z468" s="14">
        <f>IFERROR(IF(INDEX('All GHED Countries'!$D$5:$AB$199,MATCH($B468,'All GHED Countries'!$B$5:$B$199,0),MATCH($D468,'All GHED Countries'!$D$4:$AB$4,0))="","",INDEX('All GHED Countries'!$D$5:$AB$199,MATCH($B468,'All GHED Countries'!$B$5:$B$199,0),MATCH($D468,'All GHED Countries'!$D$4:$AB$4,0))),"")</f>
        <v>7.2511458400000006E-2</v>
      </c>
    </row>
    <row r="469" spans="1:26" x14ac:dyDescent="0.2">
      <c r="A469" s="6" t="s">
        <v>166</v>
      </c>
      <c r="B469" s="6" t="s">
        <v>167</v>
      </c>
      <c r="C469" s="6" t="s">
        <v>49</v>
      </c>
      <c r="D469" s="6" t="s">
        <v>15</v>
      </c>
      <c r="E469" s="6" t="s">
        <v>452</v>
      </c>
      <c r="F469" s="7">
        <v>0.19102556916524399</v>
      </c>
      <c r="G469" s="7">
        <v>7.2311549842353301E-2</v>
      </c>
      <c r="H469" s="7">
        <v>0.1170401619883409</v>
      </c>
      <c r="I469" s="7">
        <v>5.9828532953787601E-2</v>
      </c>
      <c r="J469" s="7">
        <v>0.2444102935633575</v>
      </c>
      <c r="K469" s="7">
        <v>2.1805009975620778E-3</v>
      </c>
      <c r="L469" s="7">
        <v>2.4447612662495739E-2</v>
      </c>
      <c r="M469" s="12">
        <f t="shared" si="14"/>
        <v>9.4483523987777165E-2</v>
      </c>
      <c r="N469" s="7">
        <v>8.5409970755782297E-4</v>
      </c>
      <c r="O469" s="7">
        <v>0.1629057890986837</v>
      </c>
      <c r="P469" s="7">
        <v>3.0512366032840289E-2</v>
      </c>
      <c r="Q469" s="7"/>
      <c r="R469" s="13">
        <f t="shared" si="15"/>
        <v>0.99999999999999989</v>
      </c>
      <c r="S469" s="7"/>
      <c r="T469" s="7">
        <v>5.4126832245255394E-4</v>
      </c>
      <c r="U469" s="7">
        <v>2.555251591775265E-2</v>
      </c>
      <c r="V469" s="7">
        <v>4.3112109557036281E-2</v>
      </c>
      <c r="W469" s="7"/>
      <c r="X469" s="7"/>
      <c r="Y469" s="7">
        <v>2.527763019053568E-2</v>
      </c>
      <c r="Z469" s="14">
        <f>IFERROR(IF(INDEX('All GHED Countries'!$D$5:$AB$199,MATCH($B469,'All GHED Countries'!$B$5:$B$199,0),MATCH($D469,'All GHED Countries'!$D$4:$AB$4,0))="","",INDEX('All GHED Countries'!$D$5:$AB$199,MATCH($B469,'All GHED Countries'!$B$5:$B$199,0),MATCH($D469,'All GHED Countries'!$D$4:$AB$4,0))),"")</f>
        <v>7.0329055799999998E-2</v>
      </c>
    </row>
    <row r="470" spans="1:26" x14ac:dyDescent="0.2">
      <c r="A470" s="6" t="s">
        <v>166</v>
      </c>
      <c r="B470" s="6" t="s">
        <v>167</v>
      </c>
      <c r="C470" s="6" t="s">
        <v>49</v>
      </c>
      <c r="D470" s="6" t="s">
        <v>16</v>
      </c>
      <c r="E470" s="6" t="s">
        <v>452</v>
      </c>
      <c r="F470" s="7">
        <v>0.16826949082360229</v>
      </c>
      <c r="G470" s="7">
        <v>5.6756924276953731E-2</v>
      </c>
      <c r="H470" s="7">
        <v>0.152606150035377</v>
      </c>
      <c r="I470" s="7">
        <v>6.5811366439314206E-2</v>
      </c>
      <c r="J470" s="7">
        <v>0.2496459563302065</v>
      </c>
      <c r="K470" s="7">
        <v>3.4518525203891428E-3</v>
      </c>
      <c r="L470" s="7">
        <v>2.041135236101457E-2</v>
      </c>
      <c r="M470" s="12">
        <f t="shared" si="14"/>
        <v>8.6346376568659983E-2</v>
      </c>
      <c r="N470" s="7">
        <v>8.8818010476962193E-4</v>
      </c>
      <c r="O470" s="7">
        <v>0.13683167428147469</v>
      </c>
      <c r="P470" s="7">
        <v>5.8980676258238628E-2</v>
      </c>
      <c r="Q470" s="7"/>
      <c r="R470" s="13">
        <f t="shared" si="15"/>
        <v>1.0000000000000002</v>
      </c>
      <c r="S470" s="7"/>
      <c r="T470" s="7">
        <v>1.584275714011535E-3</v>
      </c>
      <c r="U470" s="7">
        <v>1.843054296643578E-2</v>
      </c>
      <c r="V470" s="7">
        <v>2.9901425290647082E-2</v>
      </c>
      <c r="W470" s="7"/>
      <c r="X470" s="7"/>
      <c r="Y470" s="7">
        <v>3.6430132597565577E-2</v>
      </c>
      <c r="Z470" s="14">
        <f>IFERROR(IF(INDEX('All GHED Countries'!$D$5:$AB$199,MATCH($B470,'All GHED Countries'!$B$5:$B$199,0),MATCH($D470,'All GHED Countries'!$D$4:$AB$4,0))="","",INDEX('All GHED Countries'!$D$5:$AB$199,MATCH($B470,'All GHED Countries'!$B$5:$B$199,0),MATCH($D470,'All GHED Countries'!$D$4:$AB$4,0))),"")</f>
        <v>7.1137475999999991E-2</v>
      </c>
    </row>
    <row r="471" spans="1:26" x14ac:dyDescent="0.2">
      <c r="A471" s="6" t="s">
        <v>166</v>
      </c>
      <c r="B471" s="6" t="s">
        <v>167</v>
      </c>
      <c r="C471" s="6" t="s">
        <v>49</v>
      </c>
      <c r="D471" s="6" t="s">
        <v>17</v>
      </c>
      <c r="E471" s="6" t="s">
        <v>452</v>
      </c>
      <c r="F471" s="7">
        <v>0.1752124712410344</v>
      </c>
      <c r="G471" s="7">
        <v>4.8079582303812589E-2</v>
      </c>
      <c r="H471" s="7">
        <v>0.2052586089850009</v>
      </c>
      <c r="I471" s="7">
        <v>9.0768292243870285E-2</v>
      </c>
      <c r="J471" s="7">
        <v>0.2167726327967511</v>
      </c>
      <c r="K471" s="7">
        <v>1.5081035146257589E-3</v>
      </c>
      <c r="L471" s="7">
        <v>1.449973730217197E-2</v>
      </c>
      <c r="M471" s="12">
        <f t="shared" si="14"/>
        <v>7.5456034665346478E-2</v>
      </c>
      <c r="N471" s="7">
        <v>6.24705764226054E-4</v>
      </c>
      <c r="O471" s="7">
        <v>0.1312076561806165</v>
      </c>
      <c r="P471" s="7">
        <v>4.0612175002544229E-2</v>
      </c>
      <c r="Q471" s="7"/>
      <c r="R471" s="13">
        <f t="shared" si="15"/>
        <v>1.0000000000000002</v>
      </c>
      <c r="S471" s="7"/>
      <c r="T471" s="7">
        <v>5.1403054422528003E-4</v>
      </c>
      <c r="U471" s="7">
        <v>1.486069861306049E-2</v>
      </c>
      <c r="V471" s="7">
        <v>3.37231247189268E-2</v>
      </c>
      <c r="W471" s="7"/>
      <c r="X471" s="7"/>
      <c r="Y471" s="7">
        <v>2.6358180789133899E-2</v>
      </c>
      <c r="Z471" s="14">
        <f>IFERROR(IF(INDEX('All GHED Countries'!$D$5:$AB$199,MATCH($B471,'All GHED Countries'!$B$5:$B$199,0),MATCH($D471,'All GHED Countries'!$D$4:$AB$4,0))="","",INDEX('All GHED Countries'!$D$5:$AB$199,MATCH($B471,'All GHED Countries'!$B$5:$B$199,0),MATCH($D471,'All GHED Countries'!$D$4:$AB$4,0))),"")</f>
        <v>6.8970098499999993E-2</v>
      </c>
    </row>
    <row r="472" spans="1:26" x14ac:dyDescent="0.2">
      <c r="A472" s="6" t="s">
        <v>166</v>
      </c>
      <c r="B472" s="6" t="s">
        <v>167</v>
      </c>
      <c r="C472" s="6" t="s">
        <v>49</v>
      </c>
      <c r="D472" s="6" t="s">
        <v>18</v>
      </c>
      <c r="E472" s="6" t="s">
        <v>452</v>
      </c>
      <c r="F472" s="7">
        <v>0.15328578949751751</v>
      </c>
      <c r="G472" s="7">
        <v>6.6856641085829824E-2</v>
      </c>
      <c r="H472" s="7">
        <v>0.12983346744889979</v>
      </c>
      <c r="I472" s="7">
        <v>6.9504903298720513E-2</v>
      </c>
      <c r="J472" s="7">
        <v>0.27998805789667019</v>
      </c>
      <c r="K472" s="7">
        <v>5.5698895219743376E-3</v>
      </c>
      <c r="L472" s="7">
        <v>2.5939841992865961E-2</v>
      </c>
      <c r="M472" s="12">
        <f t="shared" si="14"/>
        <v>7.9579306254087823E-2</v>
      </c>
      <c r="N472" s="7">
        <v>6.0900515255660594E-4</v>
      </c>
      <c r="O472" s="7">
        <v>0.13626335435047551</v>
      </c>
      <c r="P472" s="7">
        <v>5.2569743500402472E-2</v>
      </c>
      <c r="Q472" s="7"/>
      <c r="R472" s="13">
        <f t="shared" si="15"/>
        <v>1.0000000000000004</v>
      </c>
      <c r="S472" s="7"/>
      <c r="T472" s="7">
        <v>2.5166878963709051E-3</v>
      </c>
      <c r="U472" s="7">
        <v>1.7596943870580969E-2</v>
      </c>
      <c r="V472" s="7">
        <v>2.5613984522443161E-2</v>
      </c>
      <c r="W472" s="7"/>
      <c r="X472" s="7"/>
      <c r="Y472" s="7">
        <v>3.3851689964692788E-2</v>
      </c>
      <c r="Z472" s="14">
        <f>IFERROR(IF(INDEX('All GHED Countries'!$D$5:$AB$199,MATCH($B472,'All GHED Countries'!$B$5:$B$199,0),MATCH($D472,'All GHED Countries'!$D$4:$AB$4,0))="","",INDEX('All GHED Countries'!$D$5:$AB$199,MATCH($B472,'All GHED Countries'!$B$5:$B$199,0),MATCH($D472,'All GHED Countries'!$D$4:$AB$4,0))),"")</f>
        <v>7.0504431700000009E-2</v>
      </c>
    </row>
    <row r="473" spans="1:26" x14ac:dyDescent="0.2">
      <c r="A473" s="6" t="s">
        <v>166</v>
      </c>
      <c r="B473" s="6" t="s">
        <v>167</v>
      </c>
      <c r="C473" s="6" t="s">
        <v>49</v>
      </c>
      <c r="D473" s="6" t="s">
        <v>19</v>
      </c>
      <c r="E473" s="6" t="s">
        <v>452</v>
      </c>
      <c r="F473" s="7">
        <v>0.1614535485411773</v>
      </c>
      <c r="G473" s="7">
        <v>8.8534510209767936E-2</v>
      </c>
      <c r="H473" s="7">
        <v>9.7474724356167664E-2</v>
      </c>
      <c r="I473" s="7">
        <v>6.1473351112526373E-2</v>
      </c>
      <c r="J473" s="7">
        <v>0.26005453170401621</v>
      </c>
      <c r="K473" s="7">
        <v>6.2213597322174899E-3</v>
      </c>
      <c r="L473" s="7">
        <v>2.5557954862078569E-2</v>
      </c>
      <c r="M473" s="12">
        <f t="shared" si="14"/>
        <v>0.1069925964255861</v>
      </c>
      <c r="N473" s="7">
        <v>7.1245600346296211E-4</v>
      </c>
      <c r="O473" s="7">
        <v>0.144688134378856</v>
      </c>
      <c r="P473" s="7">
        <v>4.6841440114635993E-2</v>
      </c>
      <c r="Q473" s="7"/>
      <c r="R473" s="13">
        <f t="shared" si="15"/>
        <v>1.0000046074404927</v>
      </c>
      <c r="S473" s="7"/>
      <c r="T473" s="7">
        <v>7.8346936492457099E-4</v>
      </c>
      <c r="U473" s="7">
        <v>1.302989292680014E-2</v>
      </c>
      <c r="V473" s="7">
        <v>2.1639931536838752E-2</v>
      </c>
      <c r="W473" s="7"/>
      <c r="X473" s="7"/>
      <c r="Y473" s="7">
        <v>7.1539302597022639E-2</v>
      </c>
      <c r="Z473" s="14">
        <f>IFERROR(IF(INDEX('All GHED Countries'!$D$5:$AB$199,MATCH($B473,'All GHED Countries'!$B$5:$B$199,0),MATCH($D473,'All GHED Countries'!$D$4:$AB$4,0))="","",INDEX('All GHED Countries'!$D$5:$AB$199,MATCH($B473,'All GHED Countries'!$B$5:$B$199,0),MATCH($D473,'All GHED Countries'!$D$4:$AB$4,0))),"")</f>
        <v>7.3242754899999998E-2</v>
      </c>
    </row>
    <row r="474" spans="1:26" x14ac:dyDescent="0.2">
      <c r="A474" s="6" t="s">
        <v>166</v>
      </c>
      <c r="B474" s="6" t="s">
        <v>167</v>
      </c>
      <c r="C474" s="6" t="s">
        <v>49</v>
      </c>
      <c r="D474" s="6" t="s">
        <v>20</v>
      </c>
      <c r="E474" s="6" t="s">
        <v>452</v>
      </c>
      <c r="F474" s="7">
        <v>0.15743048494417991</v>
      </c>
      <c r="G474" s="7">
        <v>8.3324778538287611E-2</v>
      </c>
      <c r="H474" s="7">
        <v>0.10814812778323921</v>
      </c>
      <c r="I474" s="7">
        <v>7.3124442864649059E-2</v>
      </c>
      <c r="J474" s="7">
        <v>0.27899931794330918</v>
      </c>
      <c r="K474" s="7">
        <v>7.9451603369351757E-3</v>
      </c>
      <c r="L474" s="7">
        <v>3.588087092208192E-2</v>
      </c>
      <c r="M474" s="12">
        <f t="shared" si="14"/>
        <v>7.1068709981393668E-2</v>
      </c>
      <c r="N474" s="7">
        <v>6.5298624650033396E-4</v>
      </c>
      <c r="O474" s="7">
        <v>0.1401645519145463</v>
      </c>
      <c r="P474" s="7">
        <v>4.3260568524874338E-2</v>
      </c>
      <c r="Q474" s="7"/>
      <c r="R474" s="13">
        <f t="shared" si="15"/>
        <v>0.99999999999999667</v>
      </c>
      <c r="S474" s="7">
        <v>2.1116371989718361E-2</v>
      </c>
      <c r="T474" s="7">
        <v>6.7340172125659006E-4</v>
      </c>
      <c r="U474" s="7">
        <v>1.725286722326844E-2</v>
      </c>
      <c r="V474" s="7">
        <v>2.342076155771541E-2</v>
      </c>
      <c r="W474" s="7">
        <v>2.2951286781061199E-4</v>
      </c>
      <c r="X474" s="7">
        <v>8.3757946216242388E-3</v>
      </c>
      <c r="Y474" s="7"/>
      <c r="Z474" s="14">
        <f>IFERROR(IF(INDEX('All GHED Countries'!$D$5:$AB$199,MATCH($B474,'All GHED Countries'!$B$5:$B$199,0),MATCH($D474,'All GHED Countries'!$D$4:$AB$4,0))="","",INDEX('All GHED Countries'!$D$5:$AB$199,MATCH($B474,'All GHED Countries'!$B$5:$B$199,0),MATCH($D474,'All GHED Countries'!$D$4:$AB$4,0))),"")</f>
        <v>7.008980749999999E-2</v>
      </c>
    </row>
    <row r="475" spans="1:26" x14ac:dyDescent="0.2">
      <c r="A475" s="6" t="s">
        <v>166</v>
      </c>
      <c r="B475" s="6" t="s">
        <v>167</v>
      </c>
      <c r="C475" s="6" t="s">
        <v>49</v>
      </c>
      <c r="D475" s="6" t="s">
        <v>21</v>
      </c>
      <c r="E475" s="6" t="s">
        <v>452</v>
      </c>
      <c r="F475" s="7">
        <v>0.16497297461622279</v>
      </c>
      <c r="G475" s="7">
        <v>9.3890661854985888E-2</v>
      </c>
      <c r="H475" s="7">
        <v>0.10295987779690501</v>
      </c>
      <c r="I475" s="7">
        <v>7.0538058454098274E-2</v>
      </c>
      <c r="J475" s="7">
        <v>0.26900343360888102</v>
      </c>
      <c r="K475" s="7">
        <v>1.1046044762388711E-2</v>
      </c>
      <c r="L475" s="7">
        <v>3.8254863241681203E-2</v>
      </c>
      <c r="M475" s="12">
        <f t="shared" si="14"/>
        <v>6.7887867333760357E-2</v>
      </c>
      <c r="N475" s="7">
        <v>6.93066367781098E-4</v>
      </c>
      <c r="O475" s="7">
        <v>0.1415563828216807</v>
      </c>
      <c r="P475" s="7">
        <v>3.9196769141619743E-2</v>
      </c>
      <c r="Q475" s="7"/>
      <c r="R475" s="13">
        <f t="shared" si="15"/>
        <v>1.0000000000000049</v>
      </c>
      <c r="S475" s="7">
        <v>2.037796082362249E-2</v>
      </c>
      <c r="T475" s="7">
        <v>6.4351837409358308E-4</v>
      </c>
      <c r="U475" s="7">
        <v>1.6571146351644351E-2</v>
      </c>
      <c r="V475" s="7">
        <v>2.3099312079443358E-2</v>
      </c>
      <c r="W475" s="7">
        <v>1.80859198689387E-4</v>
      </c>
      <c r="X475" s="7">
        <v>7.0150705062671879E-3</v>
      </c>
      <c r="Y475" s="7"/>
      <c r="Z475" s="14">
        <f>IFERROR(IF(INDEX('All GHED Countries'!$D$5:$AB$199,MATCH($B475,'All GHED Countries'!$B$5:$B$199,0),MATCH($D475,'All GHED Countries'!$D$4:$AB$4,0))="","",INDEX('All GHED Countries'!$D$5:$AB$199,MATCH($B475,'All GHED Countries'!$B$5:$B$199,0),MATCH($D475,'All GHED Countries'!$D$4:$AB$4,0))),"")</f>
        <v>5.0845341699999998E-2</v>
      </c>
    </row>
    <row r="476" spans="1:26" x14ac:dyDescent="0.2">
      <c r="A476" s="6" t="s">
        <v>166</v>
      </c>
      <c r="B476" s="6" t="s">
        <v>167</v>
      </c>
      <c r="C476" s="6" t="s">
        <v>49</v>
      </c>
      <c r="D476" s="6" t="s">
        <v>22</v>
      </c>
      <c r="E476" s="6" t="s">
        <v>452</v>
      </c>
      <c r="F476" s="7">
        <v>0.18258885340599401</v>
      </c>
      <c r="G476" s="7">
        <v>0.111557851492659</v>
      </c>
      <c r="H476" s="7">
        <v>0.1147034162649332</v>
      </c>
      <c r="I476" s="7">
        <v>7.8777110478963769E-2</v>
      </c>
      <c r="J476" s="7">
        <v>0.23468623983387829</v>
      </c>
      <c r="K476" s="7">
        <v>1.370126782517031E-2</v>
      </c>
      <c r="L476" s="7">
        <v>3.4640431573351213E-2</v>
      </c>
      <c r="M476" s="12">
        <f t="shared" si="14"/>
        <v>7.2389354335012437E-2</v>
      </c>
      <c r="N476" s="7">
        <v>1.4013788262810219E-3</v>
      </c>
      <c r="O476" s="7">
        <v>0.12743656494679009</v>
      </c>
      <c r="P476" s="7">
        <v>2.8117531016965021E-2</v>
      </c>
      <c r="Q476" s="7"/>
      <c r="R476" s="13">
        <f t="shared" si="15"/>
        <v>0.99999999999999833</v>
      </c>
      <c r="S476" s="7">
        <v>1.85571691426165E-2</v>
      </c>
      <c r="T476" s="7">
        <v>1.3184233593572709E-3</v>
      </c>
      <c r="U476" s="7">
        <v>1.6916239741876019E-2</v>
      </c>
      <c r="V476" s="7">
        <v>2.0489689803651231E-2</v>
      </c>
      <c r="W476" s="7">
        <v>2.2482704576431799E-4</v>
      </c>
      <c r="X476" s="7">
        <v>1.4883005241747099E-2</v>
      </c>
      <c r="Y476" s="7"/>
      <c r="Z476" s="14">
        <f>IFERROR(IF(INDEX('All GHED Countries'!$D$5:$AB$199,MATCH($B476,'All GHED Countries'!$B$5:$B$199,0),MATCH($D476,'All GHED Countries'!$D$4:$AB$4,0))="","",INDEX('All GHED Countries'!$D$5:$AB$199,MATCH($B476,'All GHED Countries'!$B$5:$B$199,0),MATCH($D476,'All GHED Countries'!$D$4:$AB$4,0))),"")</f>
        <v>5.1781930899999988E-2</v>
      </c>
    </row>
    <row r="477" spans="1:26" x14ac:dyDescent="0.2">
      <c r="A477" s="6" t="s">
        <v>166</v>
      </c>
      <c r="B477" s="6" t="s">
        <v>167</v>
      </c>
      <c r="C477" s="6" t="s">
        <v>49</v>
      </c>
      <c r="D477" s="6" t="s">
        <v>23</v>
      </c>
      <c r="E477" s="6" t="s">
        <v>452</v>
      </c>
      <c r="F477" s="7">
        <v>0.16224563084632229</v>
      </c>
      <c r="G477" s="7">
        <v>0.14122598410689541</v>
      </c>
      <c r="H477" s="7">
        <v>9.2161370370843085E-2</v>
      </c>
      <c r="I477" s="7">
        <v>6.6470016028398818E-2</v>
      </c>
      <c r="J477" s="7">
        <v>0.26119878866900148</v>
      </c>
      <c r="K477" s="7">
        <v>6.7576778065434294E-3</v>
      </c>
      <c r="L477" s="7">
        <v>3.7718952042821781E-2</v>
      </c>
      <c r="M477" s="12">
        <f t="shared" si="14"/>
        <v>6.9817313890228189E-2</v>
      </c>
      <c r="N477" s="7">
        <v>1.5894655801720391E-3</v>
      </c>
      <c r="O477" s="7">
        <v>0.13143464924808901</v>
      </c>
      <c r="P477" s="7">
        <v>2.9380151410684081E-2</v>
      </c>
      <c r="Q477" s="7"/>
      <c r="R477" s="13">
        <f t="shared" si="15"/>
        <v>0.99999999999999967</v>
      </c>
      <c r="S477" s="7">
        <v>0</v>
      </c>
      <c r="T477" s="7">
        <v>4.5190878882722402E-4</v>
      </c>
      <c r="U477" s="7">
        <v>1.334285738313486E-2</v>
      </c>
      <c r="V477" s="7">
        <v>2.4199661172700022E-2</v>
      </c>
      <c r="W477" s="7">
        <v>0</v>
      </c>
      <c r="X477" s="7">
        <v>3.182288654556608E-2</v>
      </c>
      <c r="Y477" s="7"/>
      <c r="Z477" s="14">
        <f>IFERROR(IF(INDEX('All GHED Countries'!$D$5:$AB$199,MATCH($B477,'All GHED Countries'!$B$5:$B$199,0),MATCH($D477,'All GHED Countries'!$D$4:$AB$4,0))="","",INDEX('All GHED Countries'!$D$5:$AB$199,MATCH($B477,'All GHED Countries'!$B$5:$B$199,0),MATCH($D477,'All GHED Countries'!$D$4:$AB$4,0))),"")</f>
        <v>3.9216382499999987E-2</v>
      </c>
    </row>
    <row r="478" spans="1:26" x14ac:dyDescent="0.2">
      <c r="A478" s="6" t="s">
        <v>166</v>
      </c>
      <c r="B478" s="6" t="s">
        <v>167</v>
      </c>
      <c r="C478" s="6" t="s">
        <v>49</v>
      </c>
      <c r="D478" s="6" t="s">
        <v>24</v>
      </c>
      <c r="E478" s="6" t="s">
        <v>452</v>
      </c>
      <c r="F478" s="7">
        <v>0.24665583708044059</v>
      </c>
      <c r="G478" s="7">
        <v>0.1221863263665615</v>
      </c>
      <c r="H478" s="7">
        <v>8.7989474265977738E-2</v>
      </c>
      <c r="I478" s="7">
        <v>3.353839197727259E-2</v>
      </c>
      <c r="J478" s="7">
        <v>0.27511907031766403</v>
      </c>
      <c r="K478" s="7">
        <v>9.2885671623109747E-3</v>
      </c>
      <c r="L478" s="7">
        <v>4.0461183420050797E-2</v>
      </c>
      <c r="M478" s="12">
        <f t="shared" si="14"/>
        <v>5.5354221979935406E-2</v>
      </c>
      <c r="N478" s="7">
        <v>1.5553865475222989E-3</v>
      </c>
      <c r="O478" s="7">
        <v>0.1092781339444077</v>
      </c>
      <c r="P478" s="7">
        <v>1.8573406937858371E-2</v>
      </c>
      <c r="Q478" s="7"/>
      <c r="R478" s="13">
        <f t="shared" si="15"/>
        <v>1.000000000000002</v>
      </c>
      <c r="S478" s="7">
        <v>4.8518410375761961E-2</v>
      </c>
      <c r="T478" s="7">
        <v>3.1748076096497601E-4</v>
      </c>
      <c r="U478" s="7">
        <v>6.223620752315211E-3</v>
      </c>
      <c r="V478" s="7">
        <v>2.9471009089326302E-4</v>
      </c>
      <c r="W478" s="7">
        <v>0</v>
      </c>
      <c r="X478" s="7">
        <v>0</v>
      </c>
      <c r="Y478" s="7"/>
      <c r="Z478" s="14">
        <f>IFERROR(IF(INDEX('All GHED Countries'!$D$5:$AB$199,MATCH($B478,'All GHED Countries'!$B$5:$B$199,0),MATCH($D478,'All GHED Countries'!$D$4:$AB$4,0))="","",INDEX('All GHED Countries'!$D$5:$AB$199,MATCH($B478,'All GHED Countries'!$B$5:$B$199,0),MATCH($D478,'All GHED Countries'!$D$4:$AB$4,0))),"")</f>
        <v>4.1681151399999991E-2</v>
      </c>
    </row>
    <row r="479" spans="1:26" x14ac:dyDescent="0.2">
      <c r="A479" s="6" t="s">
        <v>166</v>
      </c>
      <c r="B479" s="6" t="s">
        <v>167</v>
      </c>
      <c r="C479" s="6" t="s">
        <v>49</v>
      </c>
      <c r="D479" s="6" t="s">
        <v>25</v>
      </c>
      <c r="E479" s="6" t="s">
        <v>452</v>
      </c>
      <c r="F479" s="7">
        <v>0.22293518754335609</v>
      </c>
      <c r="G479" s="7">
        <v>0.13533967607920361</v>
      </c>
      <c r="H479" s="7">
        <v>0.1081856420576172</v>
      </c>
      <c r="I479" s="7">
        <v>8.5892272038582945E-3</v>
      </c>
      <c r="J479" s="7">
        <v>0.26255746296805532</v>
      </c>
      <c r="K479" s="7">
        <v>8.9533609138098963E-3</v>
      </c>
      <c r="L479" s="7">
        <v>4.440258770487663E-2</v>
      </c>
      <c r="M479" s="12">
        <f t="shared" si="14"/>
        <v>7.6168923104029701E-2</v>
      </c>
      <c r="N479" s="7">
        <v>1.8649596072300399E-3</v>
      </c>
      <c r="O479" s="7">
        <v>0.1146850553023738</v>
      </c>
      <c r="P479" s="7">
        <v>1.6317917515590169E-2</v>
      </c>
      <c r="Q479" s="7"/>
      <c r="R479" s="13">
        <f t="shared" si="15"/>
        <v>1.0000000000000007</v>
      </c>
      <c r="S479" s="7">
        <v>6.7929547933662557E-2</v>
      </c>
      <c r="T479" s="7">
        <v>0</v>
      </c>
      <c r="U479" s="7">
        <v>7.9031548397142885E-3</v>
      </c>
      <c r="V479" s="7">
        <v>3.3622033065285598E-4</v>
      </c>
      <c r="W479" s="7">
        <v>0</v>
      </c>
      <c r="X479" s="7">
        <v>0</v>
      </c>
      <c r="Y479" s="7"/>
      <c r="Z479" s="14">
        <f>IFERROR(IF(INDEX('All GHED Countries'!$D$5:$AB$199,MATCH($B479,'All GHED Countries'!$B$5:$B$199,0),MATCH($D479,'All GHED Countries'!$D$4:$AB$4,0))="","",INDEX('All GHED Countries'!$D$5:$AB$199,MATCH($B479,'All GHED Countries'!$B$5:$B$199,0),MATCH($D479,'All GHED Countries'!$D$4:$AB$4,0))),"")</f>
        <v>3.1388299500000008E-2</v>
      </c>
    </row>
    <row r="480" spans="1:26" x14ac:dyDescent="0.2">
      <c r="A480" s="6" t="s">
        <v>166</v>
      </c>
      <c r="B480" s="6" t="s">
        <v>167</v>
      </c>
      <c r="C480" s="6" t="s">
        <v>49</v>
      </c>
      <c r="D480" s="6" t="s">
        <v>26</v>
      </c>
      <c r="E480" s="6" t="s">
        <v>452</v>
      </c>
      <c r="F480" s="7">
        <v>0.21023788683338071</v>
      </c>
      <c r="G480" s="7">
        <v>0.1079382893780008</v>
      </c>
      <c r="H480" s="7">
        <v>0.15482871956149241</v>
      </c>
      <c r="I480" s="7">
        <v>5.3505896518253777E-2</v>
      </c>
      <c r="J480" s="7">
        <v>0.23132861472297431</v>
      </c>
      <c r="K480" s="7">
        <v>9.8477240226152642E-3</v>
      </c>
      <c r="L480" s="7">
        <v>3.5366952524688328E-2</v>
      </c>
      <c r="M480" s="12">
        <f t="shared" si="14"/>
        <v>7.0240769306928602E-2</v>
      </c>
      <c r="N480" s="7">
        <v>1.1968843234405251E-3</v>
      </c>
      <c r="O480" s="7">
        <v>0.1124966027303969</v>
      </c>
      <c r="P480" s="7">
        <v>1.301166007782806E-2</v>
      </c>
      <c r="Q480" s="7"/>
      <c r="R480" s="13">
        <f t="shared" si="15"/>
        <v>0.99999999999999967</v>
      </c>
      <c r="S480" s="7">
        <v>0</v>
      </c>
      <c r="T480" s="7">
        <v>0</v>
      </c>
      <c r="U480" s="7">
        <v>1.8200423769682179E-2</v>
      </c>
      <c r="V480" s="7">
        <v>1.98280222468528E-3</v>
      </c>
      <c r="W480" s="7">
        <v>0</v>
      </c>
      <c r="X480" s="7">
        <v>5.0057543312561147E-2</v>
      </c>
      <c r="Y480" s="7"/>
      <c r="Z480" s="14">
        <f>IFERROR(IF(INDEX('All GHED Countries'!$D$5:$AB$199,MATCH($B480,'All GHED Countries'!$B$5:$B$199,0),MATCH($D480,'All GHED Countries'!$D$4:$AB$4,0))="","",INDEX('All GHED Countries'!$D$5:$AB$199,MATCH($B480,'All GHED Countries'!$B$5:$B$199,0),MATCH($D480,'All GHED Countries'!$D$4:$AB$4,0))),"")</f>
        <v>5.5540356599999993E-2</v>
      </c>
    </row>
    <row r="481" spans="1:26" x14ac:dyDescent="0.2">
      <c r="A481" s="6" t="s">
        <v>166</v>
      </c>
      <c r="B481" s="6" t="s">
        <v>167</v>
      </c>
      <c r="C481" s="6" t="s">
        <v>49</v>
      </c>
      <c r="D481" s="6" t="s">
        <v>27</v>
      </c>
      <c r="E481" s="6" t="s">
        <v>452</v>
      </c>
      <c r="F481" s="7">
        <v>0.2153847425219079</v>
      </c>
      <c r="G481" s="7">
        <v>0.1200895441564136</v>
      </c>
      <c r="H481" s="7">
        <v>0.16040518485201449</v>
      </c>
      <c r="I481" s="7">
        <v>4.9853934187888388E-2</v>
      </c>
      <c r="J481" s="7">
        <v>0.23554291022038151</v>
      </c>
      <c r="K481" s="7">
        <v>9.053663233978387E-3</v>
      </c>
      <c r="L481" s="7">
        <v>2.6799831900690341E-2</v>
      </c>
      <c r="M481" s="12">
        <f t="shared" si="14"/>
        <v>8.244134396824826E-2</v>
      </c>
      <c r="N481" s="7">
        <v>1.0744523961243599E-3</v>
      </c>
      <c r="O481" s="7">
        <v>8.891654507264192E-2</v>
      </c>
      <c r="P481" s="7">
        <v>1.043784748970974E-2</v>
      </c>
      <c r="Q481" s="7"/>
      <c r="R481" s="13">
        <f t="shared" si="15"/>
        <v>0.99999999999999889</v>
      </c>
      <c r="S481" s="7">
        <v>0</v>
      </c>
      <c r="T481" s="7">
        <v>0</v>
      </c>
      <c r="U481" s="7">
        <v>1.7092033714909069E-2</v>
      </c>
      <c r="V481" s="7">
        <v>1.6440954072496541E-3</v>
      </c>
      <c r="W481" s="7">
        <v>0</v>
      </c>
      <c r="X481" s="7">
        <v>6.3705214846089542E-2</v>
      </c>
      <c r="Y481" s="7"/>
      <c r="Z481" s="14">
        <f>IFERROR(IF(INDEX('All GHED Countries'!$D$5:$AB$199,MATCH($B481,'All GHED Countries'!$B$5:$B$199,0),MATCH($D481,'All GHED Countries'!$D$4:$AB$4,0))="","",INDEX('All GHED Countries'!$D$5:$AB$199,MATCH($B481,'All GHED Countries'!$B$5:$B$199,0),MATCH($D481,'All GHED Countries'!$D$4:$AB$4,0))),"")</f>
        <v>5.3535799999999988E-2</v>
      </c>
    </row>
    <row r="482" spans="1:26" x14ac:dyDescent="0.2">
      <c r="A482" s="6" t="s">
        <v>166</v>
      </c>
      <c r="B482" s="6" t="s">
        <v>167</v>
      </c>
      <c r="C482" s="6" t="s">
        <v>49</v>
      </c>
      <c r="D482" s="6" t="s">
        <v>28</v>
      </c>
      <c r="E482" s="6" t="s">
        <v>452</v>
      </c>
      <c r="F482" s="7">
        <v>0.22697455638164801</v>
      </c>
      <c r="G482" s="7">
        <v>0.14564903098283749</v>
      </c>
      <c r="H482" s="7">
        <v>0.1192849101824312</v>
      </c>
      <c r="I482" s="7">
        <v>5.3090278762968332E-2</v>
      </c>
      <c r="J482" s="7">
        <v>0.2196676864394404</v>
      </c>
      <c r="K482" s="7">
        <v>1.048788373771882E-2</v>
      </c>
      <c r="L482" s="7">
        <v>2.4127786016965792E-2</v>
      </c>
      <c r="M482" s="12">
        <f t="shared" si="14"/>
        <v>8.1217825660040988E-2</v>
      </c>
      <c r="N482" s="7">
        <v>6.2826793335715194E-4</v>
      </c>
      <c r="O482" s="7">
        <v>0.1034456107865654</v>
      </c>
      <c r="P482" s="7">
        <v>1.5426163116025651E-2</v>
      </c>
      <c r="Q482" s="7"/>
      <c r="R482" s="13">
        <f t="shared" si="15"/>
        <v>0.99999999999999911</v>
      </c>
      <c r="S482" s="7">
        <v>0</v>
      </c>
      <c r="T482" s="7">
        <v>0</v>
      </c>
      <c r="U482" s="7">
        <v>1.8879185417051379E-2</v>
      </c>
      <c r="V482" s="7">
        <v>4.707427049477509E-3</v>
      </c>
      <c r="W482" s="7">
        <v>0</v>
      </c>
      <c r="X482" s="7">
        <v>5.7631213193512103E-2</v>
      </c>
      <c r="Y482" s="7"/>
      <c r="Z482" s="14">
        <f>IFERROR(IF(INDEX('All GHED Countries'!$D$5:$AB$199,MATCH($B482,'All GHED Countries'!$B$5:$B$199,0),MATCH($D482,'All GHED Countries'!$D$4:$AB$4,0))="","",INDEX('All GHED Countries'!$D$5:$AB$199,MATCH($B482,'All GHED Countries'!$B$5:$B$199,0),MATCH($D482,'All GHED Countries'!$D$4:$AB$4,0))),"")</f>
        <v>4.8603987699999997E-2</v>
      </c>
    </row>
    <row r="483" spans="1:26" x14ac:dyDescent="0.2">
      <c r="A483" s="6" t="s">
        <v>166</v>
      </c>
      <c r="B483" s="6" t="s">
        <v>167</v>
      </c>
      <c r="C483" s="6" t="s">
        <v>49</v>
      </c>
      <c r="D483" s="6" t="s">
        <v>29</v>
      </c>
      <c r="E483" s="6" t="s">
        <v>452</v>
      </c>
      <c r="F483" s="7">
        <v>0.219828444587333</v>
      </c>
      <c r="G483" s="7">
        <v>0.1653690875154285</v>
      </c>
      <c r="H483" s="7">
        <v>0.1017781504063035</v>
      </c>
      <c r="I483" s="7">
        <v>2.259912893712367E-2</v>
      </c>
      <c r="J483" s="7">
        <v>0.22552898696281029</v>
      </c>
      <c r="K483" s="7">
        <v>5.7679318703586502E-3</v>
      </c>
      <c r="L483" s="7">
        <v>1.11700152105272E-2</v>
      </c>
      <c r="M483" s="12">
        <f t="shared" si="14"/>
        <v>0.11180458175379679</v>
      </c>
      <c r="N483" s="7">
        <v>0</v>
      </c>
      <c r="O483" s="7">
        <v>0.1345267876279185</v>
      </c>
      <c r="P483" s="7">
        <v>1.6268851283999181E-3</v>
      </c>
      <c r="Q483" s="7"/>
      <c r="R483" s="13">
        <f t="shared" si="15"/>
        <v>1</v>
      </c>
      <c r="S483" s="7">
        <v>0</v>
      </c>
      <c r="T483" s="7">
        <v>0</v>
      </c>
      <c r="U483" s="7">
        <v>1.033012819302504E-2</v>
      </c>
      <c r="V483" s="7">
        <v>4.3753463279300103E-2</v>
      </c>
      <c r="W483" s="7">
        <v>0</v>
      </c>
      <c r="X483" s="7">
        <v>5.7720990281471637E-2</v>
      </c>
      <c r="Y483" s="7"/>
      <c r="Z483" s="14">
        <f>IFERROR(IF(INDEX('All GHED Countries'!$D$5:$AB$199,MATCH($B483,'All GHED Countries'!$B$5:$B$199,0),MATCH($D483,'All GHED Countries'!$D$4:$AB$4,0))="","",INDEX('All GHED Countries'!$D$5:$AB$199,MATCH($B483,'All GHED Countries'!$B$5:$B$199,0),MATCH($D483,'All GHED Countries'!$D$4:$AB$4,0))),"")</f>
        <v>4.8603987699999997E-2</v>
      </c>
    </row>
    <row r="484" spans="1:26" x14ac:dyDescent="0.2">
      <c r="A484" s="6" t="s">
        <v>166</v>
      </c>
      <c r="B484" s="6" t="s">
        <v>167</v>
      </c>
      <c r="C484" s="6" t="s">
        <v>49</v>
      </c>
      <c r="D484" s="6" t="s">
        <v>30</v>
      </c>
      <c r="E484" s="6" t="s">
        <v>452</v>
      </c>
      <c r="F484" s="7">
        <v>0.21645521828217501</v>
      </c>
      <c r="G484" s="7">
        <v>0.1643286420913771</v>
      </c>
      <c r="H484" s="7">
        <v>8.1506037800676306E-2</v>
      </c>
      <c r="I484" s="7">
        <v>2.092307135009425E-2</v>
      </c>
      <c r="J484" s="7">
        <v>0.30256365422851722</v>
      </c>
      <c r="K484" s="7">
        <v>1.3502476401821429E-3</v>
      </c>
      <c r="L484" s="7">
        <v>1.2143898542113949E-2</v>
      </c>
      <c r="M484" s="12">
        <f t="shared" si="14"/>
        <v>8.84620972638437E-2</v>
      </c>
      <c r="N484" s="7">
        <v>0</v>
      </c>
      <c r="O484" s="7">
        <v>0.11153490174847901</v>
      </c>
      <c r="P484" s="7">
        <v>7.3223105253943999E-4</v>
      </c>
      <c r="Q484" s="7"/>
      <c r="R484" s="13">
        <f t="shared" si="15"/>
        <v>0.999999999999998</v>
      </c>
      <c r="S484" s="7">
        <v>0</v>
      </c>
      <c r="T484" s="7">
        <v>0</v>
      </c>
      <c r="U484" s="7">
        <v>5.0445283442846532E-3</v>
      </c>
      <c r="V484" s="7">
        <v>2.5893983813495079E-2</v>
      </c>
      <c r="W484" s="7">
        <v>0</v>
      </c>
      <c r="X484" s="7">
        <v>5.7523585106063972E-2</v>
      </c>
      <c r="Y484" s="7"/>
      <c r="Z484" s="14" t="str">
        <f>IFERROR(IF(INDEX('All GHED Countries'!$D$5:$AB$199,MATCH($B484,'All GHED Countries'!$B$5:$B$199,0),MATCH($D484,'All GHED Countries'!$D$4:$AB$4,0))="","",INDEX('All GHED Countries'!$D$5:$AB$199,MATCH($B484,'All GHED Countries'!$B$5:$B$199,0),MATCH($D484,'All GHED Countries'!$D$4:$AB$4,0))),"")</f>
        <v/>
      </c>
    </row>
    <row r="485" spans="1:26" x14ac:dyDescent="0.2">
      <c r="A485" s="6" t="s">
        <v>168</v>
      </c>
      <c r="B485" s="6" t="s">
        <v>169</v>
      </c>
      <c r="C485" s="6"/>
      <c r="D485" s="6" t="s">
        <v>23</v>
      </c>
      <c r="E485" s="6" t="s">
        <v>452</v>
      </c>
      <c r="F485" s="7">
        <v>0.44815140041077328</v>
      </c>
      <c r="G485" s="7"/>
      <c r="H485" s="7">
        <v>6.8147156518619093E-2</v>
      </c>
      <c r="I485" s="7">
        <v>1.7515587806555981E-2</v>
      </c>
      <c r="J485" s="7">
        <v>0.21931476695727969</v>
      </c>
      <c r="K485" s="7">
        <v>4.89309984676621E-4</v>
      </c>
      <c r="L485" s="7">
        <v>2.021201620082418E-2</v>
      </c>
      <c r="M485" s="12">
        <f t="shared" si="14"/>
        <v>4.741773219525789E-2</v>
      </c>
      <c r="N485" s="7">
        <v>8.4603233471814299E-4</v>
      </c>
      <c r="O485" s="7">
        <v>0.17489139649951821</v>
      </c>
      <c r="P485" s="7">
        <v>3.0146010917752098E-3</v>
      </c>
      <c r="Q485" s="7"/>
      <c r="R485" s="13">
        <f t="shared" si="15"/>
        <v>0.99999999999999833</v>
      </c>
      <c r="S485" s="7"/>
      <c r="T485" s="7"/>
      <c r="U485" s="7"/>
      <c r="V485" s="7"/>
      <c r="W485" s="7"/>
      <c r="X485" s="7"/>
      <c r="Y485" s="7">
        <v>4.741773219525789E-2</v>
      </c>
      <c r="Z485" s="14">
        <f>IFERROR(IF(INDEX('All GHED Countries'!$D$5:$AB$199,MATCH($B485,'All GHED Countries'!$B$5:$B$199,0),MATCH($D485,'All GHED Countries'!$D$4:$AB$4,0))="","",INDEX('All GHED Countries'!$D$5:$AB$199,MATCH($B485,'All GHED Countries'!$B$5:$B$199,0),MATCH($D485,'All GHED Countries'!$D$4:$AB$4,0))),"")</f>
        <v>9.5214338299999993E-2</v>
      </c>
    </row>
    <row r="486" spans="1:26" x14ac:dyDescent="0.2">
      <c r="A486" s="6" t="s">
        <v>168</v>
      </c>
      <c r="B486" s="6" t="s">
        <v>169</v>
      </c>
      <c r="C486" s="6"/>
      <c r="D486" s="6" t="s">
        <v>24</v>
      </c>
      <c r="E486" s="6" t="s">
        <v>452</v>
      </c>
      <c r="F486" s="7">
        <v>0.39112818159021312</v>
      </c>
      <c r="G486" s="7"/>
      <c r="H486" s="7">
        <v>6.278201830331176E-2</v>
      </c>
      <c r="I486" s="7">
        <v>4.352350111993028E-2</v>
      </c>
      <c r="J486" s="7">
        <v>0.189307120740453</v>
      </c>
      <c r="K486" s="7">
        <v>3.9679572925895799E-4</v>
      </c>
      <c r="L486" s="7">
        <v>4.694590526458426E-2</v>
      </c>
      <c r="M486" s="12">
        <f t="shared" si="14"/>
        <v>6.1195224147300012E-2</v>
      </c>
      <c r="N486" s="7">
        <v>9.4758800368138091E-4</v>
      </c>
      <c r="O486" s="7">
        <v>0.19560119672592929</v>
      </c>
      <c r="P486" s="7">
        <v>8.1724683753394891E-3</v>
      </c>
      <c r="Q486" s="7"/>
      <c r="R486" s="13">
        <f t="shared" si="15"/>
        <v>1.0000000000000016</v>
      </c>
      <c r="S486" s="7"/>
      <c r="T486" s="7"/>
      <c r="U486" s="7"/>
      <c r="V486" s="7"/>
      <c r="W486" s="7"/>
      <c r="X486" s="7"/>
      <c r="Y486" s="7">
        <v>6.1195224147300012E-2</v>
      </c>
      <c r="Z486" s="14">
        <f>IFERROR(IF(INDEX('All GHED Countries'!$D$5:$AB$199,MATCH($B486,'All GHED Countries'!$B$5:$B$199,0),MATCH($D486,'All GHED Countries'!$D$4:$AB$4,0))="","",INDEX('All GHED Countries'!$D$5:$AB$199,MATCH($B486,'All GHED Countries'!$B$5:$B$199,0),MATCH($D486,'All GHED Countries'!$D$4:$AB$4,0))),"")</f>
        <v>9.4147319800000004E-2</v>
      </c>
    </row>
    <row r="487" spans="1:26" x14ac:dyDescent="0.2">
      <c r="A487" s="6" t="s">
        <v>174</v>
      </c>
      <c r="B487" s="6" t="s">
        <v>175</v>
      </c>
      <c r="C487" s="6"/>
      <c r="D487" s="6" t="s">
        <v>11</v>
      </c>
      <c r="E487" s="6" t="s">
        <v>452</v>
      </c>
      <c r="F487" s="7">
        <v>0.22753973487637821</v>
      </c>
      <c r="G487" s="7">
        <v>0.15071933786503561</v>
      </c>
      <c r="H487" s="7">
        <v>7.4677068263012958E-2</v>
      </c>
      <c r="I487" s="7">
        <v>5.4435345990636479E-2</v>
      </c>
      <c r="J487" s="7">
        <v>0.24590702762898331</v>
      </c>
      <c r="K487" s="7">
        <v>2.4592510094390002E-4</v>
      </c>
      <c r="L487" s="7">
        <v>4.4529137619155758E-2</v>
      </c>
      <c r="M487" s="12">
        <f t="shared" si="14"/>
        <v>6.1965544338931006E-2</v>
      </c>
      <c r="N487" s="7">
        <v>2.9304788523139391E-2</v>
      </c>
      <c r="O487" s="7">
        <v>9.8309220500638117E-2</v>
      </c>
      <c r="P487" s="7">
        <v>4.0554592600101688E-3</v>
      </c>
      <c r="Q487" s="7">
        <v>8.311410033135189E-3</v>
      </c>
      <c r="R487" s="13">
        <f t="shared" si="15"/>
        <v>1</v>
      </c>
      <c r="S487" s="7"/>
      <c r="T487" s="7"/>
      <c r="U487" s="7">
        <v>4.9343563634408373E-2</v>
      </c>
      <c r="V487" s="7"/>
      <c r="W487" s="7"/>
      <c r="X487" s="7"/>
      <c r="Y487" s="7">
        <v>1.2621980704522631E-2</v>
      </c>
      <c r="Z487" s="14">
        <f>IFERROR(IF(INDEX('All GHED Countries'!$D$5:$AB$199,MATCH($B487,'All GHED Countries'!$B$5:$B$199,0),MATCH($D487,'All GHED Countries'!$D$4:$AB$4,0))="","",INDEX('All GHED Countries'!$D$5:$AB$199,MATCH($B487,'All GHED Countries'!$B$5:$B$199,0),MATCH($D487,'All GHED Countries'!$D$4:$AB$4,0))),"")</f>
        <v>5.5376410499999987E-2</v>
      </c>
    </row>
    <row r="488" spans="1:26" x14ac:dyDescent="0.2">
      <c r="A488" s="6" t="s">
        <v>174</v>
      </c>
      <c r="B488" s="6" t="s">
        <v>175</v>
      </c>
      <c r="C488" s="6"/>
      <c r="D488" s="6" t="s">
        <v>13</v>
      </c>
      <c r="E488" s="6" t="s">
        <v>452</v>
      </c>
      <c r="F488" s="7">
        <v>0.21138725351010221</v>
      </c>
      <c r="G488" s="7">
        <v>5.2466626456281133E-2</v>
      </c>
      <c r="H488" s="7">
        <v>8.369293940758632E-2</v>
      </c>
      <c r="I488" s="7">
        <v>4.2839110426067577E-2</v>
      </c>
      <c r="J488" s="7">
        <v>0.36717856013793548</v>
      </c>
      <c r="K488" s="7">
        <v>3.3067855245891048E-3</v>
      </c>
      <c r="L488" s="7">
        <v>1.0350553122833729E-2</v>
      </c>
      <c r="M488" s="12">
        <f t="shared" si="14"/>
        <v>8.1594754676849651E-2</v>
      </c>
      <c r="N488" s="7">
        <v>8.6339965994265463E-3</v>
      </c>
      <c r="O488" s="7">
        <v>0.13628000984629501</v>
      </c>
      <c r="P488" s="7">
        <v>2.2694102920313691E-3</v>
      </c>
      <c r="Q488" s="7"/>
      <c r="R488" s="13">
        <f t="shared" si="15"/>
        <v>0.999999999999998</v>
      </c>
      <c r="S488" s="7">
        <v>0</v>
      </c>
      <c r="T488" s="7">
        <v>4.4155361747025418E-2</v>
      </c>
      <c r="U488" s="7">
        <v>3.03470050684201E-4</v>
      </c>
      <c r="V488" s="7">
        <v>0</v>
      </c>
      <c r="W488" s="7">
        <v>0</v>
      </c>
      <c r="X488" s="7">
        <v>3.713592287914004E-2</v>
      </c>
      <c r="Y488" s="7"/>
      <c r="Z488" s="14">
        <f>IFERROR(IF(INDEX('All GHED Countries'!$D$5:$AB$199,MATCH($B488,'All GHED Countries'!$B$5:$B$199,0),MATCH($D488,'All GHED Countries'!$D$4:$AB$4,0))="","",INDEX('All GHED Countries'!$D$5:$AB$199,MATCH($B488,'All GHED Countries'!$B$5:$B$199,0),MATCH($D488,'All GHED Countries'!$D$4:$AB$4,0))),"")</f>
        <v>7.4681029299999993E-2</v>
      </c>
    </row>
    <row r="489" spans="1:26" x14ac:dyDescent="0.2">
      <c r="A489" s="6" t="s">
        <v>174</v>
      </c>
      <c r="B489" s="6" t="s">
        <v>175</v>
      </c>
      <c r="C489" s="6"/>
      <c r="D489" s="6" t="s">
        <v>14</v>
      </c>
      <c r="E489" s="6" t="s">
        <v>452</v>
      </c>
      <c r="F489" s="7">
        <v>0.27404494273497848</v>
      </c>
      <c r="G489" s="7">
        <v>8.8805913198428982E-2</v>
      </c>
      <c r="H489" s="7">
        <v>8.9272375334314286E-2</v>
      </c>
      <c r="I489" s="7">
        <v>4.7815304868113542E-2</v>
      </c>
      <c r="J489" s="7">
        <v>0.2194937722756328</v>
      </c>
      <c r="K489" s="7">
        <v>2.0672514202542919E-3</v>
      </c>
      <c r="L489" s="7">
        <v>9.817453364447835E-3</v>
      </c>
      <c r="M489" s="12">
        <f t="shared" si="14"/>
        <v>9.2874348830751713E-2</v>
      </c>
      <c r="N489" s="7">
        <v>8.8867756987684871E-3</v>
      </c>
      <c r="O489" s="7">
        <v>0.16378870375794649</v>
      </c>
      <c r="P489" s="7">
        <v>3.133158516366287E-3</v>
      </c>
      <c r="Q489" s="7"/>
      <c r="R489" s="13">
        <f t="shared" si="15"/>
        <v>1.0000000000000033</v>
      </c>
      <c r="S489" s="7">
        <v>0</v>
      </c>
      <c r="T489" s="7">
        <v>5.0060542221472368E-2</v>
      </c>
      <c r="U489" s="7">
        <v>3.2594980258734599E-4</v>
      </c>
      <c r="V489" s="7">
        <v>0</v>
      </c>
      <c r="W489" s="7">
        <v>0</v>
      </c>
      <c r="X489" s="7">
        <v>4.2487856806692002E-2</v>
      </c>
      <c r="Y489" s="7"/>
      <c r="Z489" s="14">
        <f>IFERROR(IF(INDEX('All GHED Countries'!$D$5:$AB$199,MATCH($B489,'All GHED Countries'!$B$5:$B$199,0),MATCH($D489,'All GHED Countries'!$D$4:$AB$4,0))="","",INDEX('All GHED Countries'!$D$5:$AB$199,MATCH($B489,'All GHED Countries'!$B$5:$B$199,0),MATCH($D489,'All GHED Countries'!$D$4:$AB$4,0))),"")</f>
        <v>8.1471176099999987E-2</v>
      </c>
    </row>
    <row r="490" spans="1:26" x14ac:dyDescent="0.2">
      <c r="A490" s="6" t="s">
        <v>174</v>
      </c>
      <c r="B490" s="6" t="s">
        <v>175</v>
      </c>
      <c r="C490" s="6"/>
      <c r="D490" s="6" t="s">
        <v>15</v>
      </c>
      <c r="E490" s="6" t="s">
        <v>452</v>
      </c>
      <c r="F490" s="7">
        <v>0.19096688038044399</v>
      </c>
      <c r="G490" s="7">
        <v>7.6106003019077592E-2</v>
      </c>
      <c r="H490" s="7">
        <v>8.5214217388541916E-2</v>
      </c>
      <c r="I490" s="7">
        <v>5.6988943809377933E-2</v>
      </c>
      <c r="J490" s="7">
        <v>0.30668778322646201</v>
      </c>
      <c r="K490" s="7">
        <v>3.3573891345970849E-3</v>
      </c>
      <c r="L490" s="7">
        <v>1.1309844057746991E-2</v>
      </c>
      <c r="M490" s="12">
        <f t="shared" si="14"/>
        <v>7.8547576844338746E-2</v>
      </c>
      <c r="N490" s="7">
        <v>2.4191672441205219E-2</v>
      </c>
      <c r="O490" s="7">
        <v>0.1640449802734231</v>
      </c>
      <c r="P490" s="7">
        <v>2.58470942478256E-3</v>
      </c>
      <c r="Q490" s="7"/>
      <c r="R490" s="13">
        <f t="shared" si="15"/>
        <v>0.999999999999997</v>
      </c>
      <c r="S490" s="7">
        <v>0</v>
      </c>
      <c r="T490" s="7">
        <v>5.143719832372682E-2</v>
      </c>
      <c r="U490" s="7">
        <v>2.4020637271059299E-4</v>
      </c>
      <c r="V490" s="7">
        <v>0</v>
      </c>
      <c r="W490" s="7">
        <v>0</v>
      </c>
      <c r="X490" s="7">
        <v>2.6870172147901331E-2</v>
      </c>
      <c r="Y490" s="7"/>
      <c r="Z490" s="14">
        <f>IFERROR(IF(INDEX('All GHED Countries'!$D$5:$AB$199,MATCH($B490,'All GHED Countries'!$B$5:$B$199,0),MATCH($D490,'All GHED Countries'!$D$4:$AB$4,0))="","",INDEX('All GHED Countries'!$D$5:$AB$199,MATCH($B490,'All GHED Countries'!$B$5:$B$199,0),MATCH($D490,'All GHED Countries'!$D$4:$AB$4,0))),"")</f>
        <v>9.3657865499999993E-2</v>
      </c>
    </row>
    <row r="491" spans="1:26" x14ac:dyDescent="0.2">
      <c r="A491" s="6" t="s">
        <v>174</v>
      </c>
      <c r="B491" s="6" t="s">
        <v>175</v>
      </c>
      <c r="C491" s="6"/>
      <c r="D491" s="6" t="s">
        <v>16</v>
      </c>
      <c r="E491" s="6" t="s">
        <v>452</v>
      </c>
      <c r="F491" s="7">
        <v>0.20603231102303429</v>
      </c>
      <c r="G491" s="7">
        <v>8.6333685859042011E-2</v>
      </c>
      <c r="H491" s="7">
        <v>7.8755619033835961E-2</v>
      </c>
      <c r="I491" s="7">
        <v>5.6224299543618142E-2</v>
      </c>
      <c r="J491" s="7">
        <v>0.34630128319480902</v>
      </c>
      <c r="K491" s="7">
        <v>9.0201544145441094E-4</v>
      </c>
      <c r="L491" s="7">
        <v>8.8526925894682716E-3</v>
      </c>
      <c r="M491" s="12">
        <f t="shared" si="14"/>
        <v>7.2052526957437857E-2</v>
      </c>
      <c r="N491" s="7">
        <v>8.0886768663175519E-3</v>
      </c>
      <c r="O491" s="7">
        <v>0.13455763452560701</v>
      </c>
      <c r="P491" s="7">
        <v>1.8992549653737631E-3</v>
      </c>
      <c r="Q491" s="7"/>
      <c r="R491" s="13">
        <f t="shared" si="15"/>
        <v>0.99999999999999822</v>
      </c>
      <c r="S491" s="7">
        <v>0</v>
      </c>
      <c r="T491" s="7">
        <v>3.8939294546727059E-2</v>
      </c>
      <c r="U491" s="7">
        <v>1.66683519123677E-4</v>
      </c>
      <c r="V491" s="7">
        <v>0</v>
      </c>
      <c r="W491" s="7">
        <v>0</v>
      </c>
      <c r="X491" s="7">
        <v>3.2946548891587123E-2</v>
      </c>
      <c r="Y491" s="7"/>
      <c r="Z491" s="14">
        <f>IFERROR(IF(INDEX('All GHED Countries'!$D$5:$AB$199,MATCH($B491,'All GHED Countries'!$B$5:$B$199,0),MATCH($D491,'All GHED Countries'!$D$4:$AB$4,0))="","",INDEX('All GHED Countries'!$D$5:$AB$199,MATCH($B491,'All GHED Countries'!$B$5:$B$199,0),MATCH($D491,'All GHED Countries'!$D$4:$AB$4,0))),"")</f>
        <v>8.6339178099999997E-2</v>
      </c>
    </row>
    <row r="492" spans="1:26" x14ac:dyDescent="0.2">
      <c r="A492" s="6" t="s">
        <v>174</v>
      </c>
      <c r="B492" s="6" t="s">
        <v>175</v>
      </c>
      <c r="C492" s="6"/>
      <c r="D492" s="6" t="s">
        <v>17</v>
      </c>
      <c r="E492" s="6" t="s">
        <v>452</v>
      </c>
      <c r="F492" s="7">
        <v>0.1245147308206643</v>
      </c>
      <c r="G492" s="7"/>
      <c r="H492" s="7">
        <v>6.734014936928058E-2</v>
      </c>
      <c r="I492" s="7">
        <v>5.6182978626713689E-2</v>
      </c>
      <c r="J492" s="7">
        <v>0.51587499821952987</v>
      </c>
      <c r="K492" s="7">
        <v>2.389884736617554E-3</v>
      </c>
      <c r="L492" s="7">
        <v>1.4012646592777751E-2</v>
      </c>
      <c r="M492" s="12">
        <f t="shared" si="14"/>
        <v>6.8059712484556209E-2</v>
      </c>
      <c r="N492" s="7">
        <v>1.7189528201106662E-2</v>
      </c>
      <c r="O492" s="7">
        <v>0.13153108382707271</v>
      </c>
      <c r="P492" s="7">
        <v>2.904287121682047E-3</v>
      </c>
      <c r="Q492" s="7"/>
      <c r="R492" s="13">
        <f t="shared" si="15"/>
        <v>1.0000000000000013</v>
      </c>
      <c r="S492" s="7">
        <v>0</v>
      </c>
      <c r="T492" s="7">
        <v>3.9266543413947613E-2</v>
      </c>
      <c r="U492" s="7">
        <v>1.8959261323861899E-4</v>
      </c>
      <c r="V492" s="7">
        <v>0</v>
      </c>
      <c r="W492" s="7">
        <v>0</v>
      </c>
      <c r="X492" s="7">
        <v>2.860357645736997E-2</v>
      </c>
      <c r="Y492" s="7"/>
      <c r="Z492" s="14">
        <f>IFERROR(IF(INDEX('All GHED Countries'!$D$5:$AB$199,MATCH($B492,'All GHED Countries'!$B$5:$B$199,0),MATCH($D492,'All GHED Countries'!$D$4:$AB$4,0))="","",INDEX('All GHED Countries'!$D$5:$AB$199,MATCH($B492,'All GHED Countries'!$B$5:$B$199,0),MATCH($D492,'All GHED Countries'!$D$4:$AB$4,0))),"")</f>
        <v>8.0581131E-2</v>
      </c>
    </row>
    <row r="493" spans="1:26" x14ac:dyDescent="0.2">
      <c r="A493" s="6" t="s">
        <v>174</v>
      </c>
      <c r="B493" s="6" t="s">
        <v>175</v>
      </c>
      <c r="C493" s="6"/>
      <c r="D493" s="6" t="s">
        <v>18</v>
      </c>
      <c r="E493" s="6" t="s">
        <v>452</v>
      </c>
      <c r="F493" s="7">
        <v>0.213558268313672</v>
      </c>
      <c r="G493" s="7">
        <v>7.1841416165105101E-2</v>
      </c>
      <c r="H493" s="7">
        <v>6.9979683372872137E-2</v>
      </c>
      <c r="I493" s="7">
        <v>5.5064242433942173E-2</v>
      </c>
      <c r="J493" s="7">
        <v>0.32150461489108728</v>
      </c>
      <c r="K493" s="7">
        <v>0</v>
      </c>
      <c r="L493" s="7">
        <v>1.257195606676014E-2</v>
      </c>
      <c r="M493" s="12">
        <f t="shared" si="14"/>
        <v>8.4916077807682455E-2</v>
      </c>
      <c r="N493" s="7">
        <v>7.4762326149735124E-3</v>
      </c>
      <c r="O493" s="7">
        <v>0.15997213672306029</v>
      </c>
      <c r="P493" s="7">
        <v>3.1153716108448218E-3</v>
      </c>
      <c r="Q493" s="7"/>
      <c r="R493" s="13">
        <f t="shared" si="15"/>
        <v>1</v>
      </c>
      <c r="S493" s="7">
        <v>0</v>
      </c>
      <c r="T493" s="7">
        <v>4.3554781472365758E-2</v>
      </c>
      <c r="U493" s="7">
        <v>2.33593907091071E-4</v>
      </c>
      <c r="V493" s="7">
        <v>0</v>
      </c>
      <c r="W493" s="7">
        <v>0</v>
      </c>
      <c r="X493" s="7">
        <v>4.1127702428225631E-2</v>
      </c>
      <c r="Y493" s="7"/>
      <c r="Z493" s="14">
        <f>IFERROR(IF(INDEX('All GHED Countries'!$D$5:$AB$199,MATCH($B493,'All GHED Countries'!$B$5:$B$199,0),MATCH($D493,'All GHED Countries'!$D$4:$AB$4,0))="","",INDEX('All GHED Countries'!$D$5:$AB$199,MATCH($B493,'All GHED Countries'!$B$5:$B$199,0),MATCH($D493,'All GHED Countries'!$D$4:$AB$4,0))),"")</f>
        <v>7.0576958700000011E-2</v>
      </c>
    </row>
    <row r="494" spans="1:26" x14ac:dyDescent="0.2">
      <c r="A494" s="6" t="s">
        <v>174</v>
      </c>
      <c r="B494" s="6" t="s">
        <v>175</v>
      </c>
      <c r="C494" s="6"/>
      <c r="D494" s="6" t="s">
        <v>19</v>
      </c>
      <c r="E494" s="6" t="s">
        <v>452</v>
      </c>
      <c r="F494" s="7">
        <v>0.28627857340492291</v>
      </c>
      <c r="G494" s="7">
        <v>8.0973539206500508E-2</v>
      </c>
      <c r="H494" s="7">
        <v>7.2166695818971782E-2</v>
      </c>
      <c r="I494" s="7">
        <v>4.8975312799219663E-2</v>
      </c>
      <c r="J494" s="7">
        <v>0.29272570430934969</v>
      </c>
      <c r="K494" s="7">
        <v>1.96341512757658E-4</v>
      </c>
      <c r="L494" s="7">
        <v>1.9178037506220321E-2</v>
      </c>
      <c r="M494" s="12">
        <f t="shared" si="14"/>
        <v>4.7571749070120732E-2</v>
      </c>
      <c r="N494" s="7">
        <v>8.5204564635656399E-3</v>
      </c>
      <c r="O494" s="7">
        <v>0.14099921357265141</v>
      </c>
      <c r="P494" s="7">
        <v>2.414376335719998E-3</v>
      </c>
      <c r="Q494" s="7"/>
      <c r="R494" s="13">
        <f t="shared" si="15"/>
        <v>1.0000000000000004</v>
      </c>
      <c r="S494" s="7">
        <v>0</v>
      </c>
      <c r="T494" s="7">
        <v>1.451244655712133E-2</v>
      </c>
      <c r="U494" s="7">
        <v>1.8153889362591301E-4</v>
      </c>
      <c r="V494" s="7">
        <v>0</v>
      </c>
      <c r="W494" s="7">
        <v>0</v>
      </c>
      <c r="X494" s="7">
        <v>3.2877763619373487E-2</v>
      </c>
      <c r="Y494" s="7"/>
      <c r="Z494" s="14">
        <f>IFERROR(IF(INDEX('All GHED Countries'!$D$5:$AB$199,MATCH($B494,'All GHED Countries'!$B$5:$B$199,0),MATCH($D494,'All GHED Countries'!$D$4:$AB$4,0))="","",INDEX('All GHED Countries'!$D$5:$AB$199,MATCH($B494,'All GHED Countries'!$B$5:$B$199,0),MATCH($D494,'All GHED Countries'!$D$4:$AB$4,0))),"")</f>
        <v>5.4523167600000012E-2</v>
      </c>
    </row>
    <row r="495" spans="1:26" x14ac:dyDescent="0.2">
      <c r="A495" s="6" t="s">
        <v>174</v>
      </c>
      <c r="B495" s="6" t="s">
        <v>175</v>
      </c>
      <c r="C495" s="6"/>
      <c r="D495" s="6" t="s">
        <v>20</v>
      </c>
      <c r="E495" s="6" t="s">
        <v>452</v>
      </c>
      <c r="F495" s="7">
        <v>0.20658404991836279</v>
      </c>
      <c r="G495" s="7">
        <v>0.1005730968993551</v>
      </c>
      <c r="H495" s="7">
        <v>7.4474752522931412E-2</v>
      </c>
      <c r="I495" s="7">
        <v>4.7989300873942778E-2</v>
      </c>
      <c r="J495" s="7">
        <v>0.29120624535362022</v>
      </c>
      <c r="K495" s="7">
        <v>1.3114945359719401E-4</v>
      </c>
      <c r="L495" s="7">
        <v>3.5428696609870039E-2</v>
      </c>
      <c r="M495" s="12">
        <f t="shared" si="14"/>
        <v>5.4871934871567808E-2</v>
      </c>
      <c r="N495" s="7">
        <v>6.564497191480374E-3</v>
      </c>
      <c r="O495" s="7">
        <v>0.17833460960359279</v>
      </c>
      <c r="P495" s="7">
        <v>3.841666701679567E-3</v>
      </c>
      <c r="Q495" s="7"/>
      <c r="R495" s="13">
        <f t="shared" si="15"/>
        <v>0.99999999999999989</v>
      </c>
      <c r="S495" s="7">
        <v>0</v>
      </c>
      <c r="T495" s="7">
        <v>1.4605499903408091E-2</v>
      </c>
      <c r="U495" s="7">
        <v>6.7769571887226005E-5</v>
      </c>
      <c r="V495" s="7">
        <v>0</v>
      </c>
      <c r="W495" s="7">
        <v>2.097408724252469E-3</v>
      </c>
      <c r="X495" s="7">
        <v>3.8101256672020023E-2</v>
      </c>
      <c r="Y495" s="7"/>
      <c r="Z495" s="14">
        <f>IFERROR(IF(INDEX('All GHED Countries'!$D$5:$AB$199,MATCH($B495,'All GHED Countries'!$B$5:$B$199,0),MATCH($D495,'All GHED Countries'!$D$4:$AB$4,0))="","",INDEX('All GHED Countries'!$D$5:$AB$199,MATCH($B495,'All GHED Countries'!$B$5:$B$199,0),MATCH($D495,'All GHED Countries'!$D$4:$AB$4,0))),"")</f>
        <v>7.784662249999999E-2</v>
      </c>
    </row>
    <row r="496" spans="1:26" x14ac:dyDescent="0.2">
      <c r="A496" s="6" t="s">
        <v>174</v>
      </c>
      <c r="B496" s="6" t="s">
        <v>175</v>
      </c>
      <c r="C496" s="6"/>
      <c r="D496" s="6" t="s">
        <v>21</v>
      </c>
      <c r="E496" s="6" t="s">
        <v>452</v>
      </c>
      <c r="F496" s="7">
        <v>0.2220194764146394</v>
      </c>
      <c r="G496" s="7">
        <v>0.1182421685207988</v>
      </c>
      <c r="H496" s="7">
        <v>6.9661063708326865E-2</v>
      </c>
      <c r="I496" s="7">
        <v>4.1248991652663748E-2</v>
      </c>
      <c r="J496" s="7">
        <v>0.30846014594842702</v>
      </c>
      <c r="K496" s="7">
        <v>1.20331782970739E-4</v>
      </c>
      <c r="L496" s="7">
        <v>3.8232402642532338E-2</v>
      </c>
      <c r="M496" s="12">
        <f t="shared" si="14"/>
        <v>4.5457371300784519E-2</v>
      </c>
      <c r="N496" s="7">
        <v>5.4531414867339681E-3</v>
      </c>
      <c r="O496" s="7">
        <v>0.1472770057411355</v>
      </c>
      <c r="P496" s="7">
        <v>3.8279008009870761E-3</v>
      </c>
      <c r="Q496" s="7"/>
      <c r="R496" s="13">
        <f t="shared" si="15"/>
        <v>1.0000000000000002</v>
      </c>
      <c r="S496" s="7">
        <v>0</v>
      </c>
      <c r="T496" s="7">
        <v>1.311897091278486E-2</v>
      </c>
      <c r="U496" s="7">
        <v>4.9669793533200997E-5</v>
      </c>
      <c r="V496" s="7">
        <v>0</v>
      </c>
      <c r="W496" s="7">
        <v>3.3223486955562899E-4</v>
      </c>
      <c r="X496" s="7">
        <v>3.1956495724910827E-2</v>
      </c>
      <c r="Y496" s="7"/>
      <c r="Z496" s="14">
        <f>IFERROR(IF(INDEX('All GHED Countries'!$D$5:$AB$199,MATCH($B496,'All GHED Countries'!$B$5:$B$199,0),MATCH($D496,'All GHED Countries'!$D$4:$AB$4,0))="","",INDEX('All GHED Countries'!$D$5:$AB$199,MATCH($B496,'All GHED Countries'!$B$5:$B$199,0),MATCH($D496,'All GHED Countries'!$D$4:$AB$4,0))),"")</f>
        <v>7.5614514400000013E-2</v>
      </c>
    </row>
    <row r="497" spans="1:26" x14ac:dyDescent="0.2">
      <c r="A497" s="6" t="s">
        <v>174</v>
      </c>
      <c r="B497" s="6" t="s">
        <v>175</v>
      </c>
      <c r="C497" s="6"/>
      <c r="D497" s="6" t="s">
        <v>22</v>
      </c>
      <c r="E497" s="6" t="s">
        <v>452</v>
      </c>
      <c r="F497" s="7">
        <v>0.25598714891891439</v>
      </c>
      <c r="G497" s="7">
        <v>0.1820635895860753</v>
      </c>
      <c r="H497" s="7">
        <v>6.8184715358833803E-2</v>
      </c>
      <c r="I497" s="7">
        <v>3.946161938512454E-2</v>
      </c>
      <c r="J497" s="7">
        <v>0.22868156821224739</v>
      </c>
      <c r="K497" s="7">
        <v>2.2119663455466431E-3</v>
      </c>
      <c r="L497" s="7">
        <v>8.6128431580373196E-3</v>
      </c>
      <c r="M497" s="12">
        <f t="shared" si="14"/>
        <v>7.0634084542399778E-2</v>
      </c>
      <c r="N497" s="7">
        <v>4.343418306179677E-3</v>
      </c>
      <c r="O497" s="7">
        <v>0.13635693045543881</v>
      </c>
      <c r="P497" s="7">
        <v>3.4621157312023591E-3</v>
      </c>
      <c r="Q497" s="7"/>
      <c r="R497" s="13">
        <f t="shared" si="15"/>
        <v>0.99999999999999989</v>
      </c>
      <c r="S497" s="7">
        <v>0</v>
      </c>
      <c r="T497" s="7">
        <v>4.0205989872930552E-2</v>
      </c>
      <c r="U497" s="7">
        <v>4.3970616195169997E-5</v>
      </c>
      <c r="V497" s="7">
        <v>0</v>
      </c>
      <c r="W497" s="7">
        <v>1.15804386765301E-4</v>
      </c>
      <c r="X497" s="7">
        <v>3.026831966650876E-2</v>
      </c>
      <c r="Y497" s="7"/>
      <c r="Z497" s="14">
        <f>IFERROR(IF(INDEX('All GHED Countries'!$D$5:$AB$199,MATCH($B497,'All GHED Countries'!$B$5:$B$199,0),MATCH($D497,'All GHED Countries'!$D$4:$AB$4,0))="","",INDEX('All GHED Countries'!$D$5:$AB$199,MATCH($B497,'All GHED Countries'!$B$5:$B$199,0),MATCH($D497,'All GHED Countries'!$D$4:$AB$4,0))),"")</f>
        <v>7.1645693799999993E-2</v>
      </c>
    </row>
    <row r="498" spans="1:26" x14ac:dyDescent="0.2">
      <c r="A498" s="6" t="s">
        <v>174</v>
      </c>
      <c r="B498" s="6" t="s">
        <v>175</v>
      </c>
      <c r="C498" s="6"/>
      <c r="D498" s="6" t="s">
        <v>23</v>
      </c>
      <c r="E498" s="6" t="s">
        <v>452</v>
      </c>
      <c r="F498" s="7">
        <v>0.17654489731479289</v>
      </c>
      <c r="G498" s="7">
        <v>0.18536784455079661</v>
      </c>
      <c r="H498" s="7">
        <v>6.5427381630255035E-2</v>
      </c>
      <c r="I498" s="7">
        <v>3.924403364214718E-2</v>
      </c>
      <c r="J498" s="7">
        <v>0.26336380235544837</v>
      </c>
      <c r="K498" s="7">
        <v>2.4944263667393829E-3</v>
      </c>
      <c r="L498" s="7">
        <v>6.3020757291705016E-3</v>
      </c>
      <c r="M498" s="12">
        <f t="shared" si="14"/>
        <v>9.7491683459211859E-2</v>
      </c>
      <c r="N498" s="7">
        <v>4.9590719379760222E-3</v>
      </c>
      <c r="O498" s="7">
        <v>0.15048652820989281</v>
      </c>
      <c r="P498" s="7">
        <v>8.3182548035694911E-3</v>
      </c>
      <c r="Q498" s="7"/>
      <c r="R498" s="13">
        <f t="shared" si="15"/>
        <v>1.0000000000000002</v>
      </c>
      <c r="S498" s="7">
        <v>0</v>
      </c>
      <c r="T498" s="7">
        <v>4.0759943112500509E-2</v>
      </c>
      <c r="U498" s="7">
        <v>5.1093277271999997E-5</v>
      </c>
      <c r="V498" s="7">
        <v>1.592632583532266E-3</v>
      </c>
      <c r="W498" s="7">
        <v>0</v>
      </c>
      <c r="X498" s="7">
        <v>5.5088014485907083E-2</v>
      </c>
      <c r="Y498" s="7"/>
      <c r="Z498" s="14">
        <f>IFERROR(IF(INDEX('All GHED Countries'!$D$5:$AB$199,MATCH($B498,'All GHED Countries'!$B$5:$B$199,0),MATCH($D498,'All GHED Countries'!$D$4:$AB$4,0))="","",INDEX('All GHED Countries'!$D$5:$AB$199,MATCH($B498,'All GHED Countries'!$B$5:$B$199,0),MATCH($D498,'All GHED Countries'!$D$4:$AB$4,0))),"")</f>
        <v>0.1005217934</v>
      </c>
    </row>
    <row r="499" spans="1:26" x14ac:dyDescent="0.2">
      <c r="A499" s="6" t="s">
        <v>174</v>
      </c>
      <c r="B499" s="6" t="s">
        <v>175</v>
      </c>
      <c r="C499" s="6"/>
      <c r="D499" s="6" t="s">
        <v>24</v>
      </c>
      <c r="E499" s="6" t="s">
        <v>452</v>
      </c>
      <c r="F499" s="7"/>
      <c r="G499" s="7"/>
      <c r="H499" s="7"/>
      <c r="I499" s="7">
        <v>2.6737947336326701E-2</v>
      </c>
      <c r="J499" s="7"/>
      <c r="K499" s="7">
        <v>4.2791482258126186E-3</v>
      </c>
      <c r="L499" s="7"/>
      <c r="M499" s="12">
        <f t="shared" si="14"/>
        <v>5.8530758419683852E-2</v>
      </c>
      <c r="N499" s="7"/>
      <c r="O499" s="7"/>
      <c r="P499" s="7">
        <v>6.5475802468740593E-3</v>
      </c>
      <c r="Q499" s="7">
        <v>0.90390456577130285</v>
      </c>
      <c r="R499" s="13">
        <f t="shared" si="15"/>
        <v>1</v>
      </c>
      <c r="S499" s="7">
        <v>0</v>
      </c>
      <c r="T499" s="7">
        <v>3.4060102245733789E-2</v>
      </c>
      <c r="U499" s="7">
        <v>1.8034139300539999E-4</v>
      </c>
      <c r="V499" s="7">
        <v>1.2625829153932139E-2</v>
      </c>
      <c r="W499" s="7">
        <v>0</v>
      </c>
      <c r="X499" s="7">
        <v>1.1664485627012521E-2</v>
      </c>
      <c r="Y499" s="7"/>
      <c r="Z499" s="14">
        <f>IFERROR(IF(INDEX('All GHED Countries'!$D$5:$AB$199,MATCH($B499,'All GHED Countries'!$B$5:$B$199,0),MATCH($D499,'All GHED Countries'!$D$4:$AB$4,0))="","",INDEX('All GHED Countries'!$D$5:$AB$199,MATCH($B499,'All GHED Countries'!$B$5:$B$199,0),MATCH($D499,'All GHED Countries'!$D$4:$AB$4,0))),"")</f>
        <v>7.52910423E-2</v>
      </c>
    </row>
    <row r="500" spans="1:26" x14ac:dyDescent="0.2">
      <c r="A500" s="6" t="s">
        <v>174</v>
      </c>
      <c r="B500" s="6" t="s">
        <v>175</v>
      </c>
      <c r="C500" s="6"/>
      <c r="D500" s="6" t="s">
        <v>25</v>
      </c>
      <c r="E500" s="6" t="s">
        <v>452</v>
      </c>
      <c r="F500" s="7">
        <v>0.14241096156406441</v>
      </c>
      <c r="G500" s="7">
        <v>0.32019273123313002</v>
      </c>
      <c r="H500" s="7">
        <v>5.246134986955589E-2</v>
      </c>
      <c r="I500" s="7">
        <v>2.6974063309045219E-2</v>
      </c>
      <c r="J500" s="7">
        <v>0.28454482563472211</v>
      </c>
      <c r="K500" s="7">
        <v>2.3877019576270808E-3</v>
      </c>
      <c r="L500" s="7">
        <v>6.9188900734399351E-3</v>
      </c>
      <c r="M500" s="12">
        <f t="shared" si="14"/>
        <v>5.3912315376187951E-2</v>
      </c>
      <c r="N500" s="7">
        <v>2.90999934837731E-3</v>
      </c>
      <c r="O500" s="7">
        <v>0.1052026468087349</v>
      </c>
      <c r="P500" s="7">
        <v>2.0845148251151689E-3</v>
      </c>
      <c r="Q500" s="7"/>
      <c r="R500" s="13">
        <f t="shared" si="15"/>
        <v>1</v>
      </c>
      <c r="S500" s="7">
        <v>0</v>
      </c>
      <c r="T500" s="7">
        <v>4.2662746648097133E-2</v>
      </c>
      <c r="U500" s="7">
        <v>2.8543490831182001E-5</v>
      </c>
      <c r="V500" s="7">
        <v>1.703158352174379E-3</v>
      </c>
      <c r="W500" s="7">
        <v>0</v>
      </c>
      <c r="X500" s="7">
        <v>9.5178668850852601E-3</v>
      </c>
      <c r="Y500" s="7"/>
      <c r="Z500" s="14">
        <f>IFERROR(IF(INDEX('All GHED Countries'!$D$5:$AB$199,MATCH($B500,'All GHED Countries'!$B$5:$B$199,0),MATCH($D500,'All GHED Countries'!$D$4:$AB$4,0))="","",INDEX('All GHED Countries'!$D$5:$AB$199,MATCH($B500,'All GHED Countries'!$B$5:$B$199,0),MATCH($D500,'All GHED Countries'!$D$4:$AB$4,0))),"")</f>
        <v>7.5730638500000017E-2</v>
      </c>
    </row>
    <row r="501" spans="1:26" x14ac:dyDescent="0.2">
      <c r="A501" s="6" t="s">
        <v>174</v>
      </c>
      <c r="B501" s="6" t="s">
        <v>175</v>
      </c>
      <c r="C501" s="6"/>
      <c r="D501" s="6" t="s">
        <v>26</v>
      </c>
      <c r="E501" s="6" t="s">
        <v>452</v>
      </c>
      <c r="F501" s="7">
        <v>0.27312345319454179</v>
      </c>
      <c r="G501" s="7">
        <v>0.31201772498535102</v>
      </c>
      <c r="H501" s="7">
        <v>5.7650967654540017E-2</v>
      </c>
      <c r="I501" s="7">
        <v>3.390589268054698E-2</v>
      </c>
      <c r="J501" s="7">
        <v>7.2693331908769906E-2</v>
      </c>
      <c r="K501" s="7">
        <v>3.2420979947800541E-3</v>
      </c>
      <c r="L501" s="7">
        <v>3.8356428814573192E-2</v>
      </c>
      <c r="M501" s="12">
        <f t="shared" si="14"/>
        <v>8.0914532843930839E-2</v>
      </c>
      <c r="N501" s="7">
        <v>6.9661976525041362E-3</v>
      </c>
      <c r="O501" s="7">
        <v>0.1073522169754878</v>
      </c>
      <c r="P501" s="7">
        <v>1.377715529497441E-2</v>
      </c>
      <c r="Q501" s="7"/>
      <c r="R501" s="13">
        <f t="shared" si="15"/>
        <v>1.0000000000000002</v>
      </c>
      <c r="S501" s="7">
        <v>0</v>
      </c>
      <c r="T501" s="7">
        <v>3.7806371027283139E-2</v>
      </c>
      <c r="U501" s="7">
        <v>5.4000227023991997E-5</v>
      </c>
      <c r="V501" s="7">
        <v>3.5994179287658942E-3</v>
      </c>
      <c r="W501" s="7">
        <v>0</v>
      </c>
      <c r="X501" s="7">
        <v>3.9454743660857813E-2</v>
      </c>
      <c r="Y501" s="7"/>
      <c r="Z501" s="14">
        <f>IFERROR(IF(INDEX('All GHED Countries'!$D$5:$AB$199,MATCH($B501,'All GHED Countries'!$B$5:$B$199,0),MATCH($D501,'All GHED Countries'!$D$4:$AB$4,0))="","",INDEX('All GHED Countries'!$D$5:$AB$199,MATCH($B501,'All GHED Countries'!$B$5:$B$199,0),MATCH($D501,'All GHED Countries'!$D$4:$AB$4,0))),"")</f>
        <v>0.1056005478</v>
      </c>
    </row>
    <row r="502" spans="1:26" x14ac:dyDescent="0.2">
      <c r="A502" s="6" t="s">
        <v>174</v>
      </c>
      <c r="B502" s="6" t="s">
        <v>175</v>
      </c>
      <c r="C502" s="6"/>
      <c r="D502" s="6" t="s">
        <v>27</v>
      </c>
      <c r="E502" s="6" t="s">
        <v>452</v>
      </c>
      <c r="F502" s="7">
        <v>0.31044154181130712</v>
      </c>
      <c r="G502" s="7">
        <v>0.24609744081274221</v>
      </c>
      <c r="H502" s="7">
        <v>4.1948528430801713E-2</v>
      </c>
      <c r="I502" s="7">
        <v>2.9794766991571159E-2</v>
      </c>
      <c r="J502" s="7">
        <v>0.14622812732702339</v>
      </c>
      <c r="K502" s="7">
        <v>2.7159267575341392E-3</v>
      </c>
      <c r="L502" s="7">
        <v>3.6499218304827399E-2</v>
      </c>
      <c r="M502" s="12">
        <f t="shared" si="14"/>
        <v>7.1604498967488273E-2</v>
      </c>
      <c r="N502" s="7">
        <v>5.2053868117471272E-3</v>
      </c>
      <c r="O502" s="7">
        <v>8.8162876171530083E-2</v>
      </c>
      <c r="P502" s="7">
        <v>2.1301687613427361E-2</v>
      </c>
      <c r="Q502" s="7"/>
      <c r="R502" s="13">
        <f t="shared" si="15"/>
        <v>0.99999999999999989</v>
      </c>
      <c r="S502" s="7">
        <v>0</v>
      </c>
      <c r="T502" s="7">
        <v>6.6943566650676398E-2</v>
      </c>
      <c r="U502" s="7">
        <v>1.0282898413099E-4</v>
      </c>
      <c r="V502" s="7">
        <v>1.667688869346162E-3</v>
      </c>
      <c r="W502" s="7">
        <v>0</v>
      </c>
      <c r="X502" s="7">
        <v>2.890414463334723E-3</v>
      </c>
      <c r="Y502" s="7"/>
      <c r="Z502" s="14">
        <f>IFERROR(IF(INDEX('All GHED Countries'!$D$5:$AB$199,MATCH($B502,'All GHED Countries'!$B$5:$B$199,0),MATCH($D502,'All GHED Countries'!$D$4:$AB$4,0))="","",INDEX('All GHED Countries'!$D$5:$AB$199,MATCH($B502,'All GHED Countries'!$B$5:$B$199,0),MATCH($D502,'All GHED Countries'!$D$4:$AB$4,0))),"")</f>
        <v>9.2548494299999978E-2</v>
      </c>
    </row>
    <row r="503" spans="1:26" x14ac:dyDescent="0.2">
      <c r="A503" s="6" t="s">
        <v>174</v>
      </c>
      <c r="B503" s="6" t="s">
        <v>175</v>
      </c>
      <c r="C503" s="6"/>
      <c r="D503" s="6" t="s">
        <v>28</v>
      </c>
      <c r="E503" s="6" t="s">
        <v>452</v>
      </c>
      <c r="F503" s="7">
        <v>0.27913267434537992</v>
      </c>
      <c r="G503" s="7">
        <v>0.24734045457545359</v>
      </c>
      <c r="H503" s="7">
        <v>5.1218558217066452E-2</v>
      </c>
      <c r="I503" s="7">
        <v>3.0539675281673988E-2</v>
      </c>
      <c r="J503" s="7">
        <v>0.10909891920638309</v>
      </c>
      <c r="K503" s="7">
        <v>5.1805736538305782E-3</v>
      </c>
      <c r="L503" s="7">
        <v>5.6431171116913023E-2</v>
      </c>
      <c r="M503" s="12">
        <f t="shared" si="14"/>
        <v>8.5896183486120242E-2</v>
      </c>
      <c r="N503" s="7">
        <v>2.5858912821042821E-3</v>
      </c>
      <c r="O503" s="7">
        <v>0.10586134220527341</v>
      </c>
      <c r="P503" s="7">
        <v>2.6714556629801461E-2</v>
      </c>
      <c r="Q503" s="7"/>
      <c r="R503" s="13">
        <f t="shared" si="15"/>
        <v>1</v>
      </c>
      <c r="S503" s="7">
        <v>0</v>
      </c>
      <c r="T503" s="7">
        <v>7.0394849208937516E-2</v>
      </c>
      <c r="U503" s="7">
        <v>1.5778834859602861E-3</v>
      </c>
      <c r="V503" s="7">
        <v>8.6048633638389754E-3</v>
      </c>
      <c r="W503" s="7">
        <v>0</v>
      </c>
      <c r="X503" s="7">
        <v>5.3185874273834564E-3</v>
      </c>
      <c r="Y503" s="7"/>
      <c r="Z503" s="14">
        <f>IFERROR(IF(INDEX('All GHED Countries'!$D$5:$AB$199,MATCH($B503,'All GHED Countries'!$B$5:$B$199,0),MATCH($D503,'All GHED Countries'!$D$4:$AB$4,0))="","",INDEX('All GHED Countries'!$D$5:$AB$199,MATCH($B503,'All GHED Countries'!$B$5:$B$199,0),MATCH($D503,'All GHED Countries'!$D$4:$AB$4,0))),"")</f>
        <v>8.8887758300000008E-2</v>
      </c>
    </row>
    <row r="504" spans="1:26" x14ac:dyDescent="0.2">
      <c r="A504" s="6" t="s">
        <v>174</v>
      </c>
      <c r="B504" s="6" t="s">
        <v>175</v>
      </c>
      <c r="C504" s="6"/>
      <c r="D504" s="6" t="s">
        <v>29</v>
      </c>
      <c r="E504" s="6" t="s">
        <v>452</v>
      </c>
      <c r="F504" s="7">
        <v>0.1693344149459203</v>
      </c>
      <c r="G504" s="7">
        <v>0.3072422259916649</v>
      </c>
      <c r="H504" s="7">
        <v>4.6355516793996097E-2</v>
      </c>
      <c r="I504" s="7">
        <v>4.9093473767602883E-2</v>
      </c>
      <c r="J504" s="7">
        <v>9.9596623021565356E-2</v>
      </c>
      <c r="K504" s="7">
        <v>5.6465941583075541E-3</v>
      </c>
      <c r="L504" s="7">
        <v>6.3512068217834783E-2</v>
      </c>
      <c r="M504" s="12">
        <f t="shared" si="14"/>
        <v>8.6691790680881328E-2</v>
      </c>
      <c r="N504" s="7">
        <v>2.8014629136625881E-3</v>
      </c>
      <c r="O504" s="7">
        <v>0.1416743353250246</v>
      </c>
      <c r="P504" s="7">
        <v>2.805149418353961E-2</v>
      </c>
      <c r="Q504" s="7"/>
      <c r="R504" s="13">
        <f t="shared" si="15"/>
        <v>1</v>
      </c>
      <c r="S504" s="7">
        <v>0</v>
      </c>
      <c r="T504" s="7">
        <v>7.8408448550032414E-2</v>
      </c>
      <c r="U504" s="7">
        <v>1.2418064181727001E-4</v>
      </c>
      <c r="V504" s="7">
        <v>3.517482465891412E-3</v>
      </c>
      <c r="W504" s="7">
        <v>0</v>
      </c>
      <c r="X504" s="7">
        <v>4.6416790231402312E-3</v>
      </c>
      <c r="Y504" s="7"/>
      <c r="Z504" s="14">
        <f>IFERROR(IF(INDEX('All GHED Countries'!$D$5:$AB$199,MATCH($B504,'All GHED Countries'!$B$5:$B$199,0),MATCH($D504,'All GHED Countries'!$D$4:$AB$4,0))="","",INDEX('All GHED Countries'!$D$5:$AB$199,MATCH($B504,'All GHED Countries'!$B$5:$B$199,0),MATCH($D504,'All GHED Countries'!$D$4:$AB$4,0))),"")</f>
        <v>8.8887758300000008E-2</v>
      </c>
    </row>
    <row r="505" spans="1:26" x14ac:dyDescent="0.2">
      <c r="A505" s="6" t="s">
        <v>174</v>
      </c>
      <c r="B505" s="6" t="s">
        <v>175</v>
      </c>
      <c r="C505" s="6"/>
      <c r="D505" s="6" t="s">
        <v>30</v>
      </c>
      <c r="E505" s="6" t="s">
        <v>452</v>
      </c>
      <c r="F505" s="7">
        <v>0.19874762639477481</v>
      </c>
      <c r="G505" s="7">
        <v>0.30817341345046612</v>
      </c>
      <c r="H505" s="7">
        <v>5.4676403133973983E-2</v>
      </c>
      <c r="I505" s="7">
        <v>5.0265321785406679E-2</v>
      </c>
      <c r="J505" s="7">
        <v>4.6092804961449872E-2</v>
      </c>
      <c r="K505" s="7">
        <v>5.5858447068375143E-3</v>
      </c>
      <c r="L505" s="7">
        <v>4.8428533402947449E-2</v>
      </c>
      <c r="M505" s="12">
        <f t="shared" si="14"/>
        <v>8.3578293196891709E-2</v>
      </c>
      <c r="N505" s="7">
        <v>2.6928891039521472E-3</v>
      </c>
      <c r="O505" s="7">
        <v>0.14600941085194041</v>
      </c>
      <c r="P505" s="7">
        <v>5.5749459011359408E-2</v>
      </c>
      <c r="Q505" s="7"/>
      <c r="R505" s="13">
        <f t="shared" si="15"/>
        <v>1.0000000000000002</v>
      </c>
      <c r="S505" s="7">
        <v>0</v>
      </c>
      <c r="T505" s="7">
        <v>7.8732304883619042E-2</v>
      </c>
      <c r="U505" s="7">
        <v>1.1044744980635701E-4</v>
      </c>
      <c r="V505" s="7">
        <v>3.2786433742556121E-3</v>
      </c>
      <c r="W505" s="7">
        <v>0</v>
      </c>
      <c r="X505" s="7">
        <v>1.4568974892106941E-3</v>
      </c>
      <c r="Y505" s="7"/>
      <c r="Z505" s="14" t="str">
        <f>IFERROR(IF(INDEX('All GHED Countries'!$D$5:$AB$199,MATCH($B505,'All GHED Countries'!$B$5:$B$199,0),MATCH($D505,'All GHED Countries'!$D$4:$AB$4,0))="","",INDEX('All GHED Countries'!$D$5:$AB$199,MATCH($B505,'All GHED Countries'!$B$5:$B$199,0),MATCH($D505,'All GHED Countries'!$D$4:$AB$4,0))),"")</f>
        <v/>
      </c>
    </row>
  </sheetData>
  <autoFilter ref="A4:Z50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workbookViewId="0">
      <pane xSplit="5" ySplit="4" topLeftCell="F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7" customWidth="1"/>
    <col min="4" max="4" width="8" customWidth="1"/>
    <col min="5" max="5" width="16" customWidth="1"/>
    <col min="6" max="19" width="11" customWidth="1"/>
  </cols>
  <sheetData>
    <row r="1" spans="1:19" ht="16" x14ac:dyDescent="0.2">
      <c r="A1" s="1" t="s">
        <v>455</v>
      </c>
    </row>
    <row r="2" spans="1:19" x14ac:dyDescent="0.2">
      <c r="A2" s="4" t="s">
        <v>456</v>
      </c>
    </row>
    <row r="4" spans="1:19" ht="58" customHeight="1" x14ac:dyDescent="0.2">
      <c r="A4" s="5" t="s">
        <v>3</v>
      </c>
      <c r="B4" s="5" t="s">
        <v>4</v>
      </c>
      <c r="C4" s="5" t="s">
        <v>5</v>
      </c>
      <c r="D4" s="5" t="s">
        <v>32</v>
      </c>
      <c r="E4" s="5" t="s">
        <v>430</v>
      </c>
      <c r="F4" s="5" t="s">
        <v>431</v>
      </c>
      <c r="G4" s="5" t="s">
        <v>432</v>
      </c>
      <c r="H4" s="5" t="s">
        <v>433</v>
      </c>
      <c r="I4" s="5" t="s">
        <v>434</v>
      </c>
      <c r="J4" s="5" t="s">
        <v>435</v>
      </c>
      <c r="K4" s="5" t="s">
        <v>436</v>
      </c>
      <c r="L4" s="5" t="s">
        <v>437</v>
      </c>
      <c r="M4" s="5" t="s">
        <v>438</v>
      </c>
      <c r="N4" s="5" t="s">
        <v>439</v>
      </c>
      <c r="O4" s="5" t="s">
        <v>440</v>
      </c>
      <c r="P4" s="5" t="s">
        <v>441</v>
      </c>
      <c r="Q4" s="5" t="s">
        <v>442</v>
      </c>
      <c r="R4" s="5" t="s">
        <v>443</v>
      </c>
      <c r="S4" s="5" t="s">
        <v>451</v>
      </c>
    </row>
    <row r="5" spans="1:19" x14ac:dyDescent="0.2">
      <c r="A5" s="6" t="s">
        <v>35</v>
      </c>
      <c r="B5" s="6" t="s">
        <v>36</v>
      </c>
      <c r="C5" s="6"/>
      <c r="D5" s="15" t="str">
        <f>TEXT(SUMPRODUCT(MAX(('Spending by Category'!$B$5:$B$505=$B5)*('Spending by Category'!$D$5:$D$505+0))),"0")</f>
        <v>2021</v>
      </c>
      <c r="E5" s="15" t="str">
        <f>INDEX('Spending by Category'!$E$5:$E$505,MATCH(1,INDEX(('Spending by Category'!$B$5:$B$505=$B5)*('Spending by Category'!$D$5:$D$505=$D5),0),0))</f>
        <v>Central government (budgetary)</v>
      </c>
      <c r="F5" s="14">
        <f>IFERROR(IF(INDEX('Spending by Category'!$F$5:$F$505,MATCH(1,INDEX(('Spending by Category'!$B$5:$B$505=$B5)*('Spending by Category'!$D$5:$D$505=$D5),0),0))="","",INDEX('Spending by Category'!$F$5:$F$505,MATCH(1,INDEX(('Spending by Category'!$B$5:$B$505=$B5)*('Spending by Category'!$D$5:$D$505=$D5),0),0))),"")</f>
        <v>0.1072420442589592</v>
      </c>
      <c r="G5" s="14">
        <f>IFERROR(IF(INDEX('Spending by Category'!$G$5:$G$505,MATCH(1,INDEX(('Spending by Category'!$B$5:$B$505=$B5)*('Spending by Category'!$D$5:$D$505=$D5),0),0))="","",INDEX('Spending by Category'!$G$5:$G$505,MATCH(1,INDEX(('Spending by Category'!$B$5:$B$505=$B5)*('Spending by Category'!$D$5:$D$505=$D5),0),0))),"")</f>
        <v>0.2382470763638681</v>
      </c>
      <c r="H5" s="14">
        <f>IFERROR(IF(INDEX('Spending by Category'!$H$5:$H$505,MATCH(1,INDEX(('Spending by Category'!$B$5:$B$505=$B5)*('Spending by Category'!$D$5:$D$505=$D5),0),0))="","",INDEX('Spending by Category'!$H$5:$H$505,MATCH(1,INDEX(('Spending by Category'!$B$5:$B$505=$B5)*('Spending by Category'!$D$5:$D$505=$D5),0),0))),"")</f>
        <v>7.940384764724942E-2</v>
      </c>
      <c r="I5" s="14">
        <f>IFERROR(IF(INDEX('Spending by Category'!$I$5:$I$505,MATCH(1,INDEX(('Spending by Category'!$B$5:$B$505=$B5)*('Spending by Category'!$D$5:$D$505=$D5),0),0))="","",INDEX('Spending by Category'!$I$5:$I$505,MATCH(1,INDEX(('Spending by Category'!$B$5:$B$505=$B5)*('Spending by Category'!$D$5:$D$505=$D5),0),0))),"")</f>
        <v>7.2294253854650589E-2</v>
      </c>
      <c r="J5" s="14">
        <f>IFERROR(IF(INDEX('Spending by Category'!$J$5:$J$505,MATCH(1,INDEX(('Spending by Category'!$B$5:$B$505=$B5)*('Spending by Category'!$D$5:$D$505=$D5),0),0))="","",INDEX('Spending by Category'!$J$5:$J$505,MATCH(1,INDEX(('Spending by Category'!$B$5:$B$505=$B5)*('Spending by Category'!$D$5:$D$505=$D5),0),0))),"")</f>
        <v>0.24742179592238331</v>
      </c>
      <c r="K5" s="14">
        <f>IFERROR(IF(INDEX('Spending by Category'!$K$5:$K$505,MATCH(1,INDEX(('Spending by Category'!$B$5:$B$505=$B5)*('Spending by Category'!$D$5:$D$505=$D5),0),0))="","",INDEX('Spending by Category'!$K$5:$K$505,MATCH(1,INDEX(('Spending by Category'!$B$5:$B$505=$B5)*('Spending by Category'!$D$5:$D$505=$D5),0),0))),"")</f>
        <v>3.6318822224075999E-4</v>
      </c>
      <c r="L5" s="14">
        <f>IFERROR(IF(INDEX('Spending by Category'!$L$5:$L$505,MATCH(1,INDEX(('Spending by Category'!$B$5:$B$505=$B5)*('Spending by Category'!$D$5:$D$505=$D5),0),0))="","",INDEX('Spending by Category'!$L$5:$L$505,MATCH(1,INDEX(('Spending by Category'!$B$5:$B$505=$B5)*('Spending by Category'!$D$5:$D$505=$D5),0),0))),"")</f>
        <v>7.4011318262964351E-2</v>
      </c>
      <c r="M5" s="16">
        <f>IFERROR(IF(INDEX('Spending by Category'!$M$5:$M$505,MATCH(1,INDEX(('Spending by Category'!$B$5:$B$505=$B5)*('Spending by Category'!$D$5:$D$505=$D5),0),0))="","",INDEX('Spending by Category'!$M$5:$M$505,MATCH(1,INDEX(('Spending by Category'!$B$5:$B$505=$B5)*('Spending by Category'!$D$5:$D$505=$D5),0),0))),"")</f>
        <v>7.8667505257275255E-2</v>
      </c>
      <c r="N5" s="14">
        <f>IFERROR(IF(INDEX('Spending by Category'!$N$5:$N$505,MATCH(1,INDEX(('Spending by Category'!$B$5:$B$505=$B5)*('Spending by Category'!$D$5:$D$505=$D5),0),0))="","",INDEX('Spending by Category'!$N$5:$N$505,MATCH(1,INDEX(('Spending by Category'!$B$5:$B$505=$B5)*('Spending by Category'!$D$5:$D$505=$D5),0),0))),"")</f>
        <v>5.2639513306535022E-3</v>
      </c>
      <c r="O5" s="14">
        <f>IFERROR(IF(INDEX('Spending by Category'!$O$5:$O$505,MATCH(1,INDEX(('Spending by Category'!$B$5:$B$505=$B5)*('Spending by Category'!$D$5:$D$505=$D5),0),0))="","",INDEX('Spending by Category'!$O$5:$O$505,MATCH(1,INDEX(('Spending by Category'!$B$5:$B$505=$B5)*('Spending by Category'!$D$5:$D$505=$D5),0),0))),"")</f>
        <v>7.3520324681128291E-2</v>
      </c>
      <c r="P5" s="14">
        <f>IFERROR(IF(INDEX('Spending by Category'!$P$5:$P$505,MATCH(1,INDEX(('Spending by Category'!$B$5:$B$505=$B5)*('Spending by Category'!$D$5:$D$505=$D5),0),0))="","",INDEX('Spending by Category'!$P$5:$P$505,MATCH(1,INDEX(('Spending by Category'!$B$5:$B$505=$B5)*('Spending by Category'!$D$5:$D$505=$D5),0),0))),"")</f>
        <v>2.3564694198631119E-2</v>
      </c>
      <c r="Q5" s="14" t="str">
        <f>IFERROR(IF(INDEX('Spending by Category'!$Q$5:$Q$505,MATCH(1,INDEX(('Spending by Category'!$B$5:$B$505=$B5)*('Spending by Category'!$D$5:$D$505=$D5),0),0))="","",INDEX('Spending by Category'!$Q$5:$Q$505,MATCH(1,INDEX(('Spending by Category'!$B$5:$B$505=$B5)*('Spending by Category'!$D$5:$D$505=$D5),0),0))),"")</f>
        <v/>
      </c>
      <c r="R5" s="14">
        <f>IFERROR(IF(INDEX('Spending by Category'!$R$5:$R$505,MATCH(1,INDEX(('Spending by Category'!$B$5:$B$505=$B5)*('Spending by Category'!$D$5:$D$505=$D5),0),0))="","",INDEX('Spending by Category'!$R$5:$R$505,MATCH(1,INDEX(('Spending by Category'!$B$5:$B$505=$B5)*('Spending by Category'!$D$5:$D$505=$D5),0),0))),"")</f>
        <v>1.000000000000004</v>
      </c>
      <c r="S5" s="14">
        <f>IFERROR(IF(INDEX('Spending by Category'!$Z$5:$Z$505,MATCH(1,INDEX(('Spending by Category'!$B$5:$B$505=$B5)*('Spending by Category'!$D$5:$D$505=$D5),0),0))="","",INDEX('Spending by Category'!$Z$5:$Z$505,MATCH(1,INDEX(('Spending by Category'!$B$5:$B$505=$B5)*('Spending by Category'!$D$5:$D$505=$D5),0),0))),"")</f>
        <v>8.7773656799999988E-2</v>
      </c>
    </row>
    <row r="6" spans="1:19" x14ac:dyDescent="0.2">
      <c r="A6" s="6" t="s">
        <v>37</v>
      </c>
      <c r="B6" s="6" t="s">
        <v>38</v>
      </c>
      <c r="C6" s="6"/>
      <c r="D6" s="15" t="str">
        <f>TEXT(SUMPRODUCT(MAX(('Spending by Category'!$B$5:$B$505=$B6)*('Spending by Category'!$D$5:$D$505+0))),"0")</f>
        <v>2024</v>
      </c>
      <c r="E6" s="15" t="str">
        <f>INDEX('Spending by Category'!$E$5:$E$505,MATCH(1,INDEX(('Spending by Category'!$B$5:$B$505=$B6)*('Spending by Category'!$D$5:$D$505=$D6),0),0))</f>
        <v>General government</v>
      </c>
      <c r="F6" s="14">
        <f>IFERROR(IF(INDEX('Spending by Category'!$F$5:$F$505,MATCH(1,INDEX(('Spending by Category'!$B$5:$B$505=$B6)*('Spending by Category'!$D$5:$D$505=$D6),0),0))="","",INDEX('Spending by Category'!$F$5:$F$505,MATCH(1,INDEX(('Spending by Category'!$B$5:$B$505=$B6)*('Spending by Category'!$D$5:$D$505=$D6),0),0))),"")</f>
        <v>0.117721244419887</v>
      </c>
      <c r="G6" s="14">
        <f>IFERROR(IF(INDEX('Spending by Category'!$G$5:$G$505,MATCH(1,INDEX(('Spending by Category'!$B$5:$B$505=$B6)*('Spending by Category'!$D$5:$D$505=$D6),0),0))="","",INDEX('Spending by Category'!$G$5:$G$505,MATCH(1,INDEX(('Spending by Category'!$B$5:$B$505=$B6)*('Spending by Category'!$D$5:$D$505=$D6),0),0))),"")</f>
        <v>1.000053794834614E-2</v>
      </c>
      <c r="H6" s="14">
        <f>IFERROR(IF(INDEX('Spending by Category'!$H$5:$H$505,MATCH(1,INDEX(('Spending by Category'!$B$5:$B$505=$B6)*('Spending by Category'!$D$5:$D$505=$D6),0),0))="","",INDEX('Spending by Category'!$H$5:$H$505,MATCH(1,INDEX(('Spending by Category'!$B$5:$B$505=$B6)*('Spending by Category'!$D$5:$D$505=$D6),0),0))),"")</f>
        <v>0.1382345968112168</v>
      </c>
      <c r="I6" s="14">
        <f>IFERROR(IF(INDEX('Spending by Category'!$I$5:$I$505,MATCH(1,INDEX(('Spending by Category'!$B$5:$B$505=$B6)*('Spending by Category'!$D$5:$D$505=$D6),0),0))="","",INDEX('Spending by Category'!$I$5:$I$505,MATCH(1,INDEX(('Spending by Category'!$B$5:$B$505=$B6)*('Spending by Category'!$D$5:$D$505=$D6),0),0))),"")</f>
        <v>7.3798963369837184E-2</v>
      </c>
      <c r="J6" s="14">
        <f>IFERROR(IF(INDEX('Spending by Category'!$J$5:$J$505,MATCH(1,INDEX(('Spending by Category'!$B$5:$B$505=$B6)*('Spending by Category'!$D$5:$D$505=$D6),0),0))="","",INDEX('Spending by Category'!$J$5:$J$505,MATCH(1,INDEX(('Spending by Category'!$B$5:$B$505=$B6)*('Spending by Category'!$D$5:$D$505=$D6),0),0))),"")</f>
        <v>0.2444200024731544</v>
      </c>
      <c r="K6" s="14">
        <f>IFERROR(IF(INDEX('Spending by Category'!$K$5:$K$505,MATCH(1,INDEX(('Spending by Category'!$B$5:$B$505=$B6)*('Spending by Category'!$D$5:$D$505=$D6),0),0))="","",INDEX('Spending by Category'!$K$5:$K$505,MATCH(1,INDEX(('Spending by Category'!$B$5:$B$505=$B6)*('Spending by Category'!$D$5:$D$505=$D6),0),0))),"")</f>
        <v>7.8692606749734412E-3</v>
      </c>
      <c r="L6" s="14">
        <f>IFERROR(IF(INDEX('Spending by Category'!$L$5:$L$505,MATCH(1,INDEX(('Spending by Category'!$B$5:$B$505=$B6)*('Spending by Category'!$D$5:$D$505=$D6),0),0))="","",INDEX('Spending by Category'!$L$5:$L$505,MATCH(1,INDEX(('Spending by Category'!$B$5:$B$505=$B6)*('Spending by Category'!$D$5:$D$505=$D6),0),0))),"")</f>
        <v>7.5353542086885501E-3</v>
      </c>
      <c r="M6" s="16">
        <f>IFERROR(IF(INDEX('Spending by Category'!$M$5:$M$505,MATCH(1,INDEX(('Spending by Category'!$B$5:$B$505=$B6)*('Spending by Category'!$D$5:$D$505=$D6),0),0))="","",INDEX('Spending by Category'!$M$5:$M$505,MATCH(1,INDEX(('Spending by Category'!$B$5:$B$505=$B6)*('Spending by Category'!$D$5:$D$505=$D6),0),0))),"")</f>
        <v>4.1279279490380356E-2</v>
      </c>
      <c r="N6" s="14">
        <f>IFERROR(IF(INDEX('Spending by Category'!$N$5:$N$505,MATCH(1,INDEX(('Spending by Category'!$B$5:$B$505=$B6)*('Spending by Category'!$D$5:$D$505=$D6),0),0))="","",INDEX('Spending by Category'!$N$5:$N$505,MATCH(1,INDEX(('Spending by Category'!$B$5:$B$505=$B6)*('Spending by Category'!$D$5:$D$505=$D6),0),0))),"")</f>
        <v>1.164540048437919E-2</v>
      </c>
      <c r="O6" s="14">
        <f>IFERROR(IF(INDEX('Spending by Category'!$O$5:$O$505,MATCH(1,INDEX(('Spending by Category'!$B$5:$B$505=$B6)*('Spending by Category'!$D$5:$D$505=$D6),0),0))="","",INDEX('Spending by Category'!$O$5:$O$505,MATCH(1,INDEX(('Spending by Category'!$B$5:$B$505=$B6)*('Spending by Category'!$D$5:$D$505=$D6),0),0))),"")</f>
        <v>0.10360370820710341</v>
      </c>
      <c r="P6" s="14">
        <f>IFERROR(IF(INDEX('Spending by Category'!$P$5:$P$505,MATCH(1,INDEX(('Spending by Category'!$B$5:$B$505=$B6)*('Spending by Category'!$D$5:$D$505=$D6),0),0))="","",INDEX('Spending by Category'!$P$5:$P$505,MATCH(1,INDEX(('Spending by Category'!$B$5:$B$505=$B6)*('Spending by Category'!$D$5:$D$505=$D6),0),0))),"")</f>
        <v>0.24389165191203349</v>
      </c>
      <c r="Q6" s="14" t="str">
        <f>IFERROR(IF(INDEX('Spending by Category'!$Q$5:$Q$505,MATCH(1,INDEX(('Spending by Category'!$B$5:$B$505=$B6)*('Spending by Category'!$D$5:$D$505=$D6),0),0))="","",INDEX('Spending by Category'!$Q$5:$Q$505,MATCH(1,INDEX(('Spending by Category'!$B$5:$B$505=$B6)*('Spending by Category'!$D$5:$D$505=$D6),0),0))),"")</f>
        <v/>
      </c>
      <c r="R6" s="14">
        <f>IFERROR(IF(INDEX('Spending by Category'!$R$5:$R$505,MATCH(1,INDEX(('Spending by Category'!$B$5:$B$505=$B6)*('Spending by Category'!$D$5:$D$505=$D6),0),0))="","",INDEX('Spending by Category'!$R$5:$R$505,MATCH(1,INDEX(('Spending by Category'!$B$5:$B$505=$B6)*('Spending by Category'!$D$5:$D$505=$D6),0),0))),"")</f>
        <v>1</v>
      </c>
      <c r="S6" s="14" t="str">
        <f>IFERROR(IF(INDEX('Spending by Category'!$Z$5:$Z$505,MATCH(1,INDEX(('Spending by Category'!$B$5:$B$505=$B6)*('Spending by Category'!$D$5:$D$505=$D6),0),0))="","",INDEX('Spending by Category'!$Z$5:$Z$505,MATCH(1,INDEX(('Spending by Category'!$B$5:$B$505=$B6)*('Spending by Category'!$D$5:$D$505=$D6),0),0))),"")</f>
        <v/>
      </c>
    </row>
    <row r="7" spans="1:19" x14ac:dyDescent="0.2">
      <c r="A7" s="6" t="s">
        <v>39</v>
      </c>
      <c r="B7" s="6" t="s">
        <v>40</v>
      </c>
      <c r="C7" s="6"/>
      <c r="D7" s="15" t="str">
        <f>TEXT(SUMPRODUCT(MAX(('Spending by Category'!$B$5:$B$505=$B7)*('Spending by Category'!$D$5:$D$505+0))),"0")</f>
        <v>2016</v>
      </c>
      <c r="E7" s="15" t="str">
        <f>INDEX('Spending by Category'!$E$5:$E$505,MATCH(1,INDEX(('Spending by Category'!$B$5:$B$505=$B7)*('Spending by Category'!$D$5:$D$505=$D7),0),0))</f>
        <v>Central government (budgetary)</v>
      </c>
      <c r="F7" s="14">
        <f>IFERROR(IF(INDEX('Spending by Category'!$F$5:$F$505,MATCH(1,INDEX(('Spending by Category'!$B$5:$B$505=$B7)*('Spending by Category'!$D$5:$D$505=$D7),0),0))="","",INDEX('Spending by Category'!$F$5:$F$505,MATCH(1,INDEX(('Spending by Category'!$B$5:$B$505=$B7)*('Spending by Category'!$D$5:$D$505=$D7),0),0))),"")</f>
        <v>5.0183173474329018E-2</v>
      </c>
      <c r="G7" s="14">
        <f>IFERROR(IF(INDEX('Spending by Category'!$G$5:$G$505,MATCH(1,INDEX(('Spending by Category'!$B$5:$B$505=$B7)*('Spending by Category'!$D$5:$D$505=$D7),0),0))="","",INDEX('Spending by Category'!$G$5:$G$505,MATCH(1,INDEX(('Spending by Category'!$B$5:$B$505=$B7)*('Spending by Category'!$D$5:$D$505=$D7),0),0))),"")</f>
        <v>0.16170133675061499</v>
      </c>
      <c r="H7" s="14">
        <f>IFERROR(IF(INDEX('Spending by Category'!$H$5:$H$505,MATCH(1,INDEX(('Spending by Category'!$B$5:$B$505=$B7)*('Spending by Category'!$D$5:$D$505=$D7),0),0))="","",INDEX('Spending by Category'!$H$5:$H$505,MATCH(1,INDEX(('Spending by Category'!$B$5:$B$505=$B7)*('Spending by Category'!$D$5:$D$505=$D7),0),0))),"")</f>
        <v>0.100102224983003</v>
      </c>
      <c r="I7" s="14">
        <f>IFERROR(IF(INDEX('Spending by Category'!$I$5:$I$505,MATCH(1,INDEX(('Spending by Category'!$B$5:$B$505=$B7)*('Spending by Category'!$D$5:$D$505=$D7),0),0))="","",INDEX('Spending by Category'!$I$5:$I$505,MATCH(1,INDEX(('Spending by Category'!$B$5:$B$505=$B7)*('Spending by Category'!$D$5:$D$505=$D7),0),0))),"")</f>
        <v>9.3616563381934997E-2</v>
      </c>
      <c r="J7" s="14">
        <f>IFERROR(IF(INDEX('Spending by Category'!$J$5:$J$505,MATCH(1,INDEX(('Spending by Category'!$B$5:$B$505=$B7)*('Spending by Category'!$D$5:$D$505=$D7),0),0))="","",INDEX('Spending by Category'!$J$5:$J$505,MATCH(1,INDEX(('Spending by Category'!$B$5:$B$505=$B7)*('Spending by Category'!$D$5:$D$505=$D7),0),0))),"")</f>
        <v>0.19136614641161001</v>
      </c>
      <c r="K7" s="14">
        <f>IFERROR(IF(INDEX('Spending by Category'!$K$5:$K$505,MATCH(1,INDEX(('Spending by Category'!$B$5:$B$505=$B7)*('Spending by Category'!$D$5:$D$505=$D7),0),0))="","",INDEX('Spending by Category'!$K$5:$K$505,MATCH(1,INDEX(('Spending by Category'!$B$5:$B$505=$B7)*('Spending by Category'!$D$5:$D$505=$D7),0),0))),"")</f>
        <v>1.38419474592934E-3</v>
      </c>
      <c r="L7" s="14">
        <f>IFERROR(IF(INDEX('Spending by Category'!$L$5:$L$505,MATCH(1,INDEX(('Spending by Category'!$B$5:$B$505=$B7)*('Spending by Category'!$D$5:$D$505=$D7),0),0))="","",INDEX('Spending by Category'!$L$5:$L$505,MATCH(1,INDEX(('Spending by Category'!$B$5:$B$505=$B7)*('Spending by Category'!$D$5:$D$505=$D7),0),0))),"")</f>
        <v>8.0297968706438197E-2</v>
      </c>
      <c r="M7" s="16">
        <f>IFERROR(IF(INDEX('Spending by Category'!$M$5:$M$505,MATCH(1,INDEX(('Spending by Category'!$B$5:$B$505=$B7)*('Spending by Category'!$D$5:$D$505=$D7),0),0))="","",INDEX('Spending by Category'!$M$5:$M$505,MATCH(1,INDEX(('Spending by Category'!$B$5:$B$505=$B7)*('Spending by Category'!$D$5:$D$505=$D7),0),0))),"")</f>
        <v>6.0948589148500099E-2</v>
      </c>
      <c r="N7" s="14">
        <f>IFERROR(IF(INDEX('Spending by Category'!$N$5:$N$505,MATCH(1,INDEX(('Spending by Category'!$B$5:$B$505=$B7)*('Spending by Category'!$D$5:$D$505=$D7),0),0))="","",INDEX('Spending by Category'!$N$5:$N$505,MATCH(1,INDEX(('Spending by Category'!$B$5:$B$505=$B7)*('Spending by Category'!$D$5:$D$505=$D7),0),0))),"")</f>
        <v>1.09366058370954E-2</v>
      </c>
      <c r="O7" s="14">
        <f>IFERROR(IF(INDEX('Spending by Category'!$O$5:$O$505,MATCH(1,INDEX(('Spending by Category'!$B$5:$B$505=$B7)*('Spending by Category'!$D$5:$D$505=$D7),0),0))="","",INDEX('Spending by Category'!$O$5:$O$505,MATCH(1,INDEX(('Spending by Category'!$B$5:$B$505=$B7)*('Spending by Category'!$D$5:$D$505=$D7),0),0))),"")</f>
        <v>0.18625978840895899</v>
      </c>
      <c r="P7" s="14">
        <f>IFERROR(IF(INDEX('Spending by Category'!$P$5:$P$505,MATCH(1,INDEX(('Spending by Category'!$B$5:$B$505=$B7)*('Spending by Category'!$D$5:$D$505=$D7),0),0))="","",INDEX('Spending by Category'!$P$5:$P$505,MATCH(1,INDEX(('Spending by Category'!$B$5:$B$505=$B7)*('Spending by Category'!$D$5:$D$505=$D7),0),0))),"")</f>
        <v>6.3203408151586399E-2</v>
      </c>
      <c r="Q7" s="14" t="str">
        <f>IFERROR(IF(INDEX('Spending by Category'!$Q$5:$Q$505,MATCH(1,INDEX(('Spending by Category'!$B$5:$B$505=$B7)*('Spending by Category'!$D$5:$D$505=$D7),0),0))="","",INDEX('Spending by Category'!$Q$5:$Q$505,MATCH(1,INDEX(('Spending by Category'!$B$5:$B$505=$B7)*('Spending by Category'!$D$5:$D$505=$D7),0),0))),"")</f>
        <v/>
      </c>
      <c r="R7" s="14">
        <f>IFERROR(IF(INDEX('Spending by Category'!$R$5:$R$505,MATCH(1,INDEX(('Spending by Category'!$B$5:$B$505=$B7)*('Spending by Category'!$D$5:$D$505=$D7),0),0))="","",INDEX('Spending by Category'!$R$5:$R$505,MATCH(1,INDEX(('Spending by Category'!$B$5:$B$505=$B7)*('Spending by Category'!$D$5:$D$505=$D7),0),0))),"")</f>
        <v>1.0000000000000004</v>
      </c>
      <c r="S7" s="14">
        <f>IFERROR(IF(INDEX('Spending by Category'!$Z$5:$Z$505,MATCH(1,INDEX(('Spending by Category'!$B$5:$B$505=$B7)*('Spending by Category'!$D$5:$D$505=$D7),0),0))="","",INDEX('Spending by Category'!$Z$5:$Z$505,MATCH(1,INDEX(('Spending by Category'!$B$5:$B$505=$B7)*('Spending by Category'!$D$5:$D$505=$D7),0),0))),"")</f>
        <v>4.0993580799999998E-2</v>
      </c>
    </row>
    <row r="8" spans="1:19" x14ac:dyDescent="0.2">
      <c r="A8" s="6" t="s">
        <v>45</v>
      </c>
      <c r="B8" s="6" t="s">
        <v>46</v>
      </c>
      <c r="C8" s="6"/>
      <c r="D8" s="15" t="str">
        <f>TEXT(SUMPRODUCT(MAX(('Spending by Category'!$B$5:$B$505=$B8)*('Spending by Category'!$D$5:$D$505+0))),"0")</f>
        <v>2007</v>
      </c>
      <c r="E8" s="15" t="str">
        <f>INDEX('Spending by Category'!$E$5:$E$505,MATCH(1,INDEX(('Spending by Category'!$B$5:$B$505=$B8)*('Spending by Category'!$D$5:$D$505=$D8),0),0))</f>
        <v>General government</v>
      </c>
      <c r="F8" s="14">
        <f>IFERROR(IF(INDEX('Spending by Category'!$F$5:$F$505,MATCH(1,INDEX(('Spending by Category'!$B$5:$B$505=$B8)*('Spending by Category'!$D$5:$D$505=$D8),0),0))="","",INDEX('Spending by Category'!$F$5:$F$505,MATCH(1,INDEX(('Spending by Category'!$B$5:$B$505=$B8)*('Spending by Category'!$D$5:$D$505=$D8),0),0))),"")</f>
        <v>8.8139541403089897E-2</v>
      </c>
      <c r="G8" s="14">
        <f>IFERROR(IF(INDEX('Spending by Category'!$G$5:$G$505,MATCH(1,INDEX(('Spending by Category'!$B$5:$B$505=$B8)*('Spending by Category'!$D$5:$D$505=$D8),0),0))="","",INDEX('Spending by Category'!$G$5:$G$505,MATCH(1,INDEX(('Spending by Category'!$B$5:$B$505=$B8)*('Spending by Category'!$D$5:$D$505=$D8),0),0))),"")</f>
        <v>6.3925093242431105E-2</v>
      </c>
      <c r="H8" s="14">
        <f>IFERROR(IF(INDEX('Spending by Category'!$H$5:$H$505,MATCH(1,INDEX(('Spending by Category'!$B$5:$B$505=$B8)*('Spending by Category'!$D$5:$D$505=$D8),0),0))="","",INDEX('Spending by Category'!$H$5:$H$505,MATCH(1,INDEX(('Spending by Category'!$B$5:$B$505=$B8)*('Spending by Category'!$D$5:$D$505=$D8),0),0))),"")</f>
        <v>4.3053077182310301E-2</v>
      </c>
      <c r="I8" s="14">
        <f>IFERROR(IF(INDEX('Spending by Category'!$I$5:$I$505,MATCH(1,INDEX(('Spending by Category'!$B$5:$B$505=$B8)*('Spending by Category'!$D$5:$D$505=$D8),0),0))="","",INDEX('Spending by Category'!$I$5:$I$505,MATCH(1,INDEX(('Spending by Category'!$B$5:$B$505=$B8)*('Spending by Category'!$D$5:$D$505=$D8),0),0))),"")</f>
        <v>4.9999302566532712E-2</v>
      </c>
      <c r="J8" s="14">
        <f>IFERROR(IF(INDEX('Spending by Category'!$J$5:$J$505,MATCH(1,INDEX(('Spending by Category'!$B$5:$B$505=$B8)*('Spending by Category'!$D$5:$D$505=$D8),0),0))="","",INDEX('Spending by Category'!$J$5:$J$505,MATCH(1,INDEX(('Spending by Category'!$B$5:$B$505=$B8)*('Spending by Category'!$D$5:$D$505=$D8),0),0))),"")</f>
        <v>0.24516532170751501</v>
      </c>
      <c r="K8" s="14">
        <f>IFERROR(IF(INDEX('Spending by Category'!$K$5:$K$505,MATCH(1,INDEX(('Spending by Category'!$B$5:$B$505=$B8)*('Spending by Category'!$D$5:$D$505=$D8),0),0))="","",INDEX('Spending by Category'!$K$5:$K$505,MATCH(1,INDEX(('Spending by Category'!$B$5:$B$505=$B8)*('Spending by Category'!$D$5:$D$505=$D8),0),0))),"")</f>
        <v>1.74137617926527E-2</v>
      </c>
      <c r="L8" s="14">
        <f>IFERROR(IF(INDEX('Spending by Category'!$L$5:$L$505,MATCH(1,INDEX(('Spending by Category'!$B$5:$B$505=$B8)*('Spending by Category'!$D$5:$D$505=$D8),0),0))="","",INDEX('Spending by Category'!$L$5:$L$505,MATCH(1,INDEX(('Spending by Category'!$B$5:$B$505=$B8)*('Spending by Category'!$D$5:$D$505=$D8),0),0))),"")</f>
        <v>4.73897443502172E-2</v>
      </c>
      <c r="M8" s="16">
        <f>IFERROR(IF(INDEX('Spending by Category'!$M$5:$M$505,MATCH(1,INDEX(('Spending by Category'!$B$5:$B$505=$B8)*('Spending by Category'!$D$5:$D$505=$D8),0),0))="","",INDEX('Spending by Category'!$M$5:$M$505,MATCH(1,INDEX(('Spending by Category'!$B$5:$B$505=$B8)*('Spending by Category'!$D$5:$D$505=$D8),0),0))),"")</f>
        <v>9.3964912202595591E-2</v>
      </c>
      <c r="N8" s="14">
        <f>IFERROR(IF(INDEX('Spending by Category'!$N$5:$N$505,MATCH(1,INDEX(('Spending by Category'!$B$5:$B$505=$B8)*('Spending by Category'!$D$5:$D$505=$D8),0),0))="","",INDEX('Spending by Category'!$N$5:$N$505,MATCH(1,INDEX(('Spending by Category'!$B$5:$B$505=$B8)*('Spending by Category'!$D$5:$D$505=$D8),0),0))),"")</f>
        <v>2.1712827385209601E-2</v>
      </c>
      <c r="O8" s="14">
        <f>IFERROR(IF(INDEX('Spending by Category'!$O$5:$O$505,MATCH(1,INDEX(('Spending by Category'!$B$5:$B$505=$B8)*('Spending by Category'!$D$5:$D$505=$D8),0),0))="","",INDEX('Spending by Category'!$O$5:$O$505,MATCH(1,INDEX(('Spending by Category'!$B$5:$B$505=$B8)*('Spending by Category'!$D$5:$D$505=$D8),0),0))),"")</f>
        <v>0.20374284306475901</v>
      </c>
      <c r="P8" s="14">
        <f>IFERROR(IF(INDEX('Spending by Category'!$P$5:$P$505,MATCH(1,INDEX(('Spending by Category'!$B$5:$B$505=$B8)*('Spending by Category'!$D$5:$D$505=$D8),0),0))="","",INDEX('Spending by Category'!$P$5:$P$505,MATCH(1,INDEX(('Spending by Category'!$B$5:$B$505=$B8)*('Spending by Category'!$D$5:$D$505=$D8),0),0))),"")</f>
        <v>0.12549357510268699</v>
      </c>
      <c r="Q8" s="14" t="str">
        <f>IFERROR(IF(INDEX('Spending by Category'!$Q$5:$Q$505,MATCH(1,INDEX(('Spending by Category'!$B$5:$B$505=$B8)*('Spending by Category'!$D$5:$D$505=$D8),0),0))="","",INDEX('Spending by Category'!$Q$5:$Q$505,MATCH(1,INDEX(('Spending by Category'!$B$5:$B$505=$B8)*('Spending by Category'!$D$5:$D$505=$D8),0),0))),"")</f>
        <v/>
      </c>
      <c r="R8" s="14">
        <f>IFERROR(IF(INDEX('Spending by Category'!$R$5:$R$505,MATCH(1,INDEX(('Spending by Category'!$B$5:$B$505=$B8)*('Spending by Category'!$D$5:$D$505=$D8),0),0))="","",INDEX('Spending by Category'!$R$5:$R$505,MATCH(1,INDEX(('Spending by Category'!$B$5:$B$505=$B8)*('Spending by Category'!$D$5:$D$505=$D8),0),0))),"")</f>
        <v>1</v>
      </c>
      <c r="S8" s="14">
        <f>IFERROR(IF(INDEX('Spending by Category'!$Z$5:$Z$505,MATCH(1,INDEX(('Spending by Category'!$B$5:$B$505=$B8)*('Spending by Category'!$D$5:$D$505=$D8),0),0))="","",INDEX('Spending by Category'!$Z$5:$Z$505,MATCH(1,INDEX(('Spending by Category'!$B$5:$B$505=$B8)*('Spending by Category'!$D$5:$D$505=$D8),0),0))),"")</f>
        <v>8.5002489099999995E-2</v>
      </c>
    </row>
    <row r="9" spans="1:19" x14ac:dyDescent="0.2">
      <c r="A9" s="6" t="s">
        <v>47</v>
      </c>
      <c r="B9" s="6" t="s">
        <v>48</v>
      </c>
      <c r="C9" s="6" t="s">
        <v>49</v>
      </c>
      <c r="D9" s="15" t="str">
        <f>TEXT(SUMPRODUCT(MAX(('Spending by Category'!$B$5:$B$505=$B9)*('Spending by Category'!$D$5:$D$505+0))),"0")</f>
        <v>2023</v>
      </c>
      <c r="E9" s="15" t="str">
        <f>INDEX('Spending by Category'!$E$5:$E$505,MATCH(1,INDEX(('Spending by Category'!$B$5:$B$505=$B9)*('Spending by Category'!$D$5:$D$505=$D9),0),0))</f>
        <v>Central government (budgetary)</v>
      </c>
      <c r="F9" s="14">
        <f>IFERROR(IF(INDEX('Spending by Category'!$F$5:$F$505,MATCH(1,INDEX(('Spending by Category'!$B$5:$B$505=$B9)*('Spending by Category'!$D$5:$D$505=$D9),0),0))="","",INDEX('Spending by Category'!$F$5:$F$505,MATCH(1,INDEX(('Spending by Category'!$B$5:$B$505=$B9)*('Spending by Category'!$D$5:$D$505=$D9),0),0))),"")</f>
        <v>0.17297962521253171</v>
      </c>
      <c r="G9" s="14">
        <f>IFERROR(IF(INDEX('Spending by Category'!$G$5:$G$505,MATCH(1,INDEX(('Spending by Category'!$B$5:$B$505=$B9)*('Spending by Category'!$D$5:$D$505=$D9),0),0))="","",INDEX('Spending by Category'!$G$5:$G$505,MATCH(1,INDEX(('Spending by Category'!$B$5:$B$505=$B9)*('Spending by Category'!$D$5:$D$505=$D9),0),0))),"")</f>
        <v>2.984583748547702E-2</v>
      </c>
      <c r="H9" s="14">
        <f>IFERROR(IF(INDEX('Spending by Category'!$H$5:$H$505,MATCH(1,INDEX(('Spending by Category'!$B$5:$B$505=$B9)*('Spending by Category'!$D$5:$D$505=$D9),0),0))="","",INDEX('Spending by Category'!$H$5:$H$505,MATCH(1,INDEX(('Spending by Category'!$B$5:$B$505=$B9)*('Spending by Category'!$D$5:$D$505=$D9),0),0))),"")</f>
        <v>7.7127219572158887E-2</v>
      </c>
      <c r="I9" s="14">
        <f>IFERROR(IF(INDEX('Spending by Category'!$I$5:$I$505,MATCH(1,INDEX(('Spending by Category'!$B$5:$B$505=$B9)*('Spending by Category'!$D$5:$D$505=$D9),0),0))="","",INDEX('Spending by Category'!$I$5:$I$505,MATCH(1,INDEX(('Spending by Category'!$B$5:$B$505=$B9)*('Spending by Category'!$D$5:$D$505=$D9),0),0))),"")</f>
        <v>7.9214752682317077E-2</v>
      </c>
      <c r="J9" s="14">
        <f>IFERROR(IF(INDEX('Spending by Category'!$J$5:$J$505,MATCH(1,INDEX(('Spending by Category'!$B$5:$B$505=$B9)*('Spending by Category'!$D$5:$D$505=$D9),0),0))="","",INDEX('Spending by Category'!$J$5:$J$505,MATCH(1,INDEX(('Spending by Category'!$B$5:$B$505=$B9)*('Spending by Category'!$D$5:$D$505=$D9),0),0))),"")</f>
        <v>8.8288557014428989E-2</v>
      </c>
      <c r="K9" s="14">
        <f>IFERROR(IF(INDEX('Spending by Category'!$K$5:$K$505,MATCH(1,INDEX(('Spending by Category'!$B$5:$B$505=$B9)*('Spending by Category'!$D$5:$D$505=$D9),0),0))="","",INDEX('Spending by Category'!$K$5:$K$505,MATCH(1,INDEX(('Spending by Category'!$B$5:$B$505=$B9)*('Spending by Category'!$D$5:$D$505=$D9),0),0))),"")</f>
        <v>8.5160423120589981E-3</v>
      </c>
      <c r="L9" s="14">
        <f>IFERROR(IF(INDEX('Spending by Category'!$L$5:$L$505,MATCH(1,INDEX(('Spending by Category'!$B$5:$B$505=$B9)*('Spending by Category'!$D$5:$D$505=$D9),0),0))="","",INDEX('Spending by Category'!$L$5:$L$505,MATCH(1,INDEX(('Spending by Category'!$B$5:$B$505=$B9)*('Spending by Category'!$D$5:$D$505=$D9),0),0))),"")</f>
        <v>0.1688198015952439</v>
      </c>
      <c r="M9" s="16">
        <f>IFERROR(IF(INDEX('Spending by Category'!$M$5:$M$505,MATCH(1,INDEX(('Spending by Category'!$B$5:$B$505=$B9)*('Spending by Category'!$D$5:$D$505=$D9),0),0))="","",INDEX('Spending by Category'!$M$5:$M$505,MATCH(1,INDEX(('Spending by Category'!$B$5:$B$505=$B9)*('Spending by Category'!$D$5:$D$505=$D9),0),0))),"")</f>
        <v>0.12171136442754001</v>
      </c>
      <c r="N9" s="14">
        <f>IFERROR(IF(INDEX('Spending by Category'!$N$5:$N$505,MATCH(1,INDEX(('Spending by Category'!$B$5:$B$505=$B9)*('Spending by Category'!$D$5:$D$505=$D9),0),0))="","",INDEX('Spending by Category'!$N$5:$N$505,MATCH(1,INDEX(('Spending by Category'!$B$5:$B$505=$B9)*('Spending by Category'!$D$5:$D$505=$D9),0),0))),"")</f>
        <v>1.588947565093829E-2</v>
      </c>
      <c r="O9" s="14">
        <f>IFERROR(IF(INDEX('Spending by Category'!$O$5:$O$505,MATCH(1,INDEX(('Spending by Category'!$B$5:$B$505=$B9)*('Spending by Category'!$D$5:$D$505=$D9),0),0))="","",INDEX('Spending by Category'!$O$5:$O$505,MATCH(1,INDEX(('Spending by Category'!$B$5:$B$505=$B9)*('Spending by Category'!$D$5:$D$505=$D9),0),0))),"")</f>
        <v>0.200149565110948</v>
      </c>
      <c r="P9" s="14">
        <f>IFERROR(IF(INDEX('Spending by Category'!$P$5:$P$505,MATCH(1,INDEX(('Spending by Category'!$B$5:$B$505=$B9)*('Spending by Category'!$D$5:$D$505=$D9),0),0))="","",INDEX('Spending by Category'!$P$5:$P$505,MATCH(1,INDEX(('Spending by Category'!$B$5:$B$505=$B9)*('Spending by Category'!$D$5:$D$505=$D9),0),0))),"")</f>
        <v>3.745775893635709E-2</v>
      </c>
      <c r="Q9" s="14" t="str">
        <f>IFERROR(IF(INDEX('Spending by Category'!$Q$5:$Q$505,MATCH(1,INDEX(('Spending by Category'!$B$5:$B$505=$B9)*('Spending by Category'!$D$5:$D$505=$D9),0),0))="","",INDEX('Spending by Category'!$Q$5:$Q$505,MATCH(1,INDEX(('Spending by Category'!$B$5:$B$505=$B9)*('Spending by Category'!$D$5:$D$505=$D9),0),0))),"")</f>
        <v/>
      </c>
      <c r="R9" s="14">
        <f>IFERROR(IF(INDEX('Spending by Category'!$R$5:$R$505,MATCH(1,INDEX(('Spending by Category'!$B$5:$B$505=$B9)*('Spending by Category'!$D$5:$D$505=$D9),0),0))="","",INDEX('Spending by Category'!$R$5:$R$505,MATCH(1,INDEX(('Spending by Category'!$B$5:$B$505=$B9)*('Spending by Category'!$D$5:$D$505=$D9),0),0))),"")</f>
        <v>0.99999999999999989</v>
      </c>
      <c r="S9" s="14">
        <f>IFERROR(IF(INDEX('Spending by Category'!$Z$5:$Z$505,MATCH(1,INDEX(('Spending by Category'!$B$5:$B$505=$B9)*('Spending by Category'!$D$5:$D$505=$D9),0),0))="","",INDEX('Spending by Category'!$Z$5:$Z$505,MATCH(1,INDEX(('Spending by Category'!$B$5:$B$505=$B9)*('Spending by Category'!$D$5:$D$505=$D9),0),0))),"")</f>
        <v>0.14610138889999999</v>
      </c>
    </row>
    <row r="10" spans="1:19" x14ac:dyDescent="0.2">
      <c r="A10" s="6" t="s">
        <v>50</v>
      </c>
      <c r="B10" s="6" t="s">
        <v>51</v>
      </c>
      <c r="C10" s="6"/>
      <c r="D10" s="15" t="str">
        <f>TEXT(SUMPRODUCT(MAX(('Spending by Category'!$B$5:$B$505=$B10)*('Spending by Category'!$D$5:$D$505+0))),"0")</f>
        <v>2024</v>
      </c>
      <c r="E10" s="15" t="str">
        <f>INDEX('Spending by Category'!$E$5:$E$505,MATCH(1,INDEX(('Spending by Category'!$B$5:$B$505=$B10)*('Spending by Category'!$D$5:$D$505=$D10),0),0))</f>
        <v>Central government (budgetary)</v>
      </c>
      <c r="F10" s="14">
        <f>IFERROR(IF(INDEX('Spending by Category'!$F$5:$F$505,MATCH(1,INDEX(('Spending by Category'!$B$5:$B$505=$B10)*('Spending by Category'!$D$5:$D$505=$D10),0),0))="","",INDEX('Spending by Category'!$F$5:$F$505,MATCH(1,INDEX(('Spending by Category'!$B$5:$B$505=$B10)*('Spending by Category'!$D$5:$D$505=$D10),0),0))),"")</f>
        <v>0.1207858306327016</v>
      </c>
      <c r="G10" s="14">
        <f>IFERROR(IF(INDEX('Spending by Category'!$G$5:$G$505,MATCH(1,INDEX(('Spending by Category'!$B$5:$B$505=$B10)*('Spending by Category'!$D$5:$D$505=$D10),0),0))="","",INDEX('Spending by Category'!$G$5:$G$505,MATCH(1,INDEX(('Spending by Category'!$B$5:$B$505=$B10)*('Spending by Category'!$D$5:$D$505=$D10),0),0))),"")</f>
        <v>7.7993810764388175E-2</v>
      </c>
      <c r="H10" s="14">
        <f>IFERROR(IF(INDEX('Spending by Category'!$H$5:$H$505,MATCH(1,INDEX(('Spending by Category'!$B$5:$B$505=$B10)*('Spending by Category'!$D$5:$D$505=$D10),0),0))="","",INDEX('Spending by Category'!$H$5:$H$505,MATCH(1,INDEX(('Spending by Category'!$B$5:$B$505=$B10)*('Spending by Category'!$D$5:$D$505=$D10),0),0))),"")</f>
        <v>0.1826369785364502</v>
      </c>
      <c r="I10" s="14">
        <f>IFERROR(IF(INDEX('Spending by Category'!$I$5:$I$505,MATCH(1,INDEX(('Spending by Category'!$B$5:$B$505=$B10)*('Spending by Category'!$D$5:$D$505=$D10),0),0))="","",INDEX('Spending by Category'!$I$5:$I$505,MATCH(1,INDEX(('Spending by Category'!$B$5:$B$505=$B10)*('Spending by Category'!$D$5:$D$505=$D10),0),0))),"")</f>
        <v>6.4837959795000885E-2</v>
      </c>
      <c r="J10" s="14">
        <f>IFERROR(IF(INDEX('Spending by Category'!$J$5:$J$505,MATCH(1,INDEX(('Spending by Category'!$B$5:$B$505=$B10)*('Spending by Category'!$D$5:$D$505=$D10),0),0))="","",INDEX('Spending by Category'!$J$5:$J$505,MATCH(1,INDEX(('Spending by Category'!$B$5:$B$505=$B10)*('Spending by Category'!$D$5:$D$505=$D10),0),0))),"")</f>
        <v>0.22267581984601559</v>
      </c>
      <c r="K10" s="14">
        <f>IFERROR(IF(INDEX('Spending by Category'!$K$5:$K$505,MATCH(1,INDEX(('Spending by Category'!$B$5:$B$505=$B10)*('Spending by Category'!$D$5:$D$505=$D10),0),0))="","",INDEX('Spending by Category'!$K$5:$K$505,MATCH(1,INDEX(('Spending by Category'!$B$5:$B$505=$B10)*('Spending by Category'!$D$5:$D$505=$D10),0),0))),"")</f>
        <v>1.554008501727961E-2</v>
      </c>
      <c r="L10" s="14">
        <f>IFERROR(IF(INDEX('Spending by Category'!$L$5:$L$505,MATCH(1,INDEX(('Spending by Category'!$B$5:$B$505=$B10)*('Spending by Category'!$D$5:$D$505=$D10),0),0))="","",INDEX('Spending by Category'!$L$5:$L$505,MATCH(1,INDEX(('Spending by Category'!$B$5:$B$505=$B10)*('Spending by Category'!$D$5:$D$505=$D10),0),0))),"")</f>
        <v>3.631262287910544E-3</v>
      </c>
      <c r="M10" s="16">
        <f>IFERROR(IF(INDEX('Spending by Category'!$M$5:$M$505,MATCH(1,INDEX(('Spending by Category'!$B$5:$B$505=$B10)*('Spending by Category'!$D$5:$D$505=$D10),0),0))="","",INDEX('Spending by Category'!$M$5:$M$505,MATCH(1,INDEX(('Spending by Category'!$B$5:$B$505=$B10)*('Spending by Category'!$D$5:$D$505=$D10),0),0))),"")</f>
        <v>9.632653618587439E-2</v>
      </c>
      <c r="N10" s="14">
        <f>IFERROR(IF(INDEX('Spending by Category'!$N$5:$N$505,MATCH(1,INDEX(('Spending by Category'!$B$5:$B$505=$B10)*('Spending by Category'!$D$5:$D$505=$D10),0),0))="","",INDEX('Spending by Category'!$N$5:$N$505,MATCH(1,INDEX(('Spending by Category'!$B$5:$B$505=$B10)*('Spending by Category'!$D$5:$D$505=$D10),0),0))),"")</f>
        <v>8.4477203153193563E-3</v>
      </c>
      <c r="O10" s="14">
        <f>IFERROR(IF(INDEX('Spending by Category'!$O$5:$O$505,MATCH(1,INDEX(('Spending by Category'!$B$5:$B$505=$B10)*('Spending by Category'!$D$5:$D$505=$D10),0),0))="","",INDEX('Spending by Category'!$O$5:$O$505,MATCH(1,INDEX(('Spending by Category'!$B$5:$B$505=$B10)*('Spending by Category'!$D$5:$D$505=$D10),0),0))),"")</f>
        <v>0.1928508770301719</v>
      </c>
      <c r="P10" s="14">
        <f>IFERROR(IF(INDEX('Spending by Category'!$P$5:$P$505,MATCH(1,INDEX(('Spending by Category'!$B$5:$B$505=$B10)*('Spending by Category'!$D$5:$D$505=$D10),0),0))="","",INDEX('Spending by Category'!$P$5:$P$505,MATCH(1,INDEX(('Spending by Category'!$B$5:$B$505=$B10)*('Spending by Category'!$D$5:$D$505=$D10),0),0))),"")</f>
        <v>1.427311958888778E-2</v>
      </c>
      <c r="Q10" s="14" t="str">
        <f>IFERROR(IF(INDEX('Spending by Category'!$Q$5:$Q$505,MATCH(1,INDEX(('Spending by Category'!$B$5:$B$505=$B10)*('Spending by Category'!$D$5:$D$505=$D10),0),0))="","",INDEX('Spending by Category'!$Q$5:$Q$505,MATCH(1,INDEX(('Spending by Category'!$B$5:$B$505=$B10)*('Spending by Category'!$D$5:$D$505=$D10),0),0))),"")</f>
        <v/>
      </c>
      <c r="R10" s="14">
        <f>IFERROR(IF(INDEX('Spending by Category'!$R$5:$R$505,MATCH(1,INDEX(('Spending by Category'!$B$5:$B$505=$B10)*('Spending by Category'!$D$5:$D$505=$D10),0),0))="","",INDEX('Spending by Category'!$R$5:$R$505,MATCH(1,INDEX(('Spending by Category'!$B$5:$B$505=$B10)*('Spending by Category'!$D$5:$D$505=$D10),0),0))),"")</f>
        <v>1</v>
      </c>
      <c r="S10" s="14" t="str">
        <f>IFERROR(IF(INDEX('Spending by Category'!$Z$5:$Z$505,MATCH(1,INDEX(('Spending by Category'!$B$5:$B$505=$B10)*('Spending by Category'!$D$5:$D$505=$D10),0),0))="","",INDEX('Spending by Category'!$Z$5:$Z$505,MATCH(1,INDEX(('Spending by Category'!$B$5:$B$505=$B10)*('Spending by Category'!$D$5:$D$505=$D10),0),0))),"")</f>
        <v/>
      </c>
    </row>
    <row r="11" spans="1:19" x14ac:dyDescent="0.2">
      <c r="A11" s="6" t="s">
        <v>52</v>
      </c>
      <c r="B11" s="6" t="s">
        <v>53</v>
      </c>
      <c r="C11" s="6" t="s">
        <v>49</v>
      </c>
      <c r="D11" s="15" t="str">
        <f>TEXT(SUMPRODUCT(MAX(('Spending by Category'!$B$5:$B$505=$B11)*('Spending by Category'!$D$5:$D$505+0))),"0")</f>
        <v>2013</v>
      </c>
      <c r="E11" s="15" t="str">
        <f>INDEX('Spending by Category'!$E$5:$E$505,MATCH(1,INDEX(('Spending by Category'!$B$5:$B$505=$B11)*('Spending by Category'!$D$5:$D$505=$D11),0),0))</f>
        <v>Central government (budgetary)</v>
      </c>
      <c r="F11" s="14">
        <f>IFERROR(IF(INDEX('Spending by Category'!$F$5:$F$505,MATCH(1,INDEX(('Spending by Category'!$B$5:$B$505=$B11)*('Spending by Category'!$D$5:$D$505=$D11),0),0))="","",INDEX('Spending by Category'!$F$5:$F$505,MATCH(1,INDEX(('Spending by Category'!$B$5:$B$505=$B11)*('Spending by Category'!$D$5:$D$505=$D11),0),0))),"")</f>
        <v>0.1319058949132568</v>
      </c>
      <c r="G11" s="14">
        <f>IFERROR(IF(INDEX('Spending by Category'!$G$5:$G$505,MATCH(1,INDEX(('Spending by Category'!$B$5:$B$505=$B11)*('Spending by Category'!$D$5:$D$505=$D11),0),0))="","",INDEX('Spending by Category'!$G$5:$G$505,MATCH(1,INDEX(('Spending by Category'!$B$5:$B$505=$B11)*('Spending by Category'!$D$5:$D$505=$D11),0),0))),"")</f>
        <v>2.7663518324800199E-2</v>
      </c>
      <c r="H11" s="14">
        <f>IFERROR(IF(INDEX('Spending by Category'!$H$5:$H$505,MATCH(1,INDEX(('Spending by Category'!$B$5:$B$505=$B11)*('Spending by Category'!$D$5:$D$505=$D11),0),0))="","",INDEX('Spending by Category'!$H$5:$H$505,MATCH(1,INDEX(('Spending by Category'!$B$5:$B$505=$B11)*('Spending by Category'!$D$5:$D$505=$D11),0),0))),"")</f>
        <v>8.8884802007440394E-2</v>
      </c>
      <c r="I11" s="14">
        <f>IFERROR(IF(INDEX('Spending by Category'!$I$5:$I$505,MATCH(1,INDEX(('Spending by Category'!$B$5:$B$505=$B11)*('Spending by Category'!$D$5:$D$505=$D11),0),0))="","",INDEX('Spending by Category'!$I$5:$I$505,MATCH(1,INDEX(('Spending by Category'!$B$5:$B$505=$B11)*('Spending by Category'!$D$5:$D$505=$D11),0),0))),"")</f>
        <v>6.8415313271207007E-2</v>
      </c>
      <c r="J11" s="14">
        <f>IFERROR(IF(INDEX('Spending by Category'!$J$5:$J$505,MATCH(1,INDEX(('Spending by Category'!$B$5:$B$505=$B11)*('Spending by Category'!$D$5:$D$505=$D11),0),0))="","",INDEX('Spending by Category'!$J$5:$J$505,MATCH(1,INDEX(('Spending by Category'!$B$5:$B$505=$B11)*('Spending by Category'!$D$5:$D$505=$D11),0),0))),"")</f>
        <v>8.0884668370842405E-2</v>
      </c>
      <c r="K11" s="14">
        <f>IFERROR(IF(INDEX('Spending by Category'!$K$5:$K$505,MATCH(1,INDEX(('Spending by Category'!$B$5:$B$505=$B11)*('Spending by Category'!$D$5:$D$505=$D11),0),0))="","",INDEX('Spending by Category'!$K$5:$K$505,MATCH(1,INDEX(('Spending by Category'!$B$5:$B$505=$B11)*('Spending by Category'!$D$5:$D$505=$D11),0),0))),"")</f>
        <v>4.6758251768020901E-3</v>
      </c>
      <c r="L11" s="14">
        <f>IFERROR(IF(INDEX('Spending by Category'!$L$5:$L$505,MATCH(1,INDEX(('Spending by Category'!$B$5:$B$505=$B11)*('Spending by Category'!$D$5:$D$505=$D11),0),0))="","",INDEX('Spending by Category'!$L$5:$L$505,MATCH(1,INDEX(('Spending by Category'!$B$5:$B$505=$B11)*('Spending by Category'!$D$5:$D$505=$D11),0),0))),"")</f>
        <v>4.3364539522634396E-3</v>
      </c>
      <c r="M11" s="16">
        <f>IFERROR(IF(INDEX('Spending by Category'!$M$5:$M$505,MATCH(1,INDEX(('Spending by Category'!$B$5:$B$505=$B11)*('Spending by Category'!$D$5:$D$505=$D11),0),0))="","",INDEX('Spending by Category'!$M$5:$M$505,MATCH(1,INDEX(('Spending by Category'!$B$5:$B$505=$B11)*('Spending by Category'!$D$5:$D$505=$D11),0),0))),"")</f>
        <v>8.4590011087885345E-2</v>
      </c>
      <c r="N11" s="14">
        <f>IFERROR(IF(INDEX('Spending by Category'!$N$5:$N$505,MATCH(1,INDEX(('Spending by Category'!$B$5:$B$505=$B11)*('Spending by Category'!$D$5:$D$505=$D11),0),0))="","",INDEX('Spending by Category'!$N$5:$N$505,MATCH(1,INDEX(('Spending by Category'!$B$5:$B$505=$B11)*('Spending by Category'!$D$5:$D$505=$D11),0),0))),"")</f>
        <v>2.33784097848908E-3</v>
      </c>
      <c r="O11" s="14">
        <f>IFERROR(IF(INDEX('Spending by Category'!$O$5:$O$505,MATCH(1,INDEX(('Spending by Category'!$B$5:$B$505=$B11)*('Spending by Category'!$D$5:$D$505=$D11),0),0))="","",INDEX('Spending by Category'!$O$5:$O$505,MATCH(1,INDEX(('Spending by Category'!$B$5:$B$505=$B11)*('Spending by Category'!$D$5:$D$505=$D11),0),0))),"")</f>
        <v>0.185447898633467</v>
      </c>
      <c r="P11" s="14">
        <f>IFERROR(IF(INDEX('Spending by Category'!$P$5:$P$505,MATCH(1,INDEX(('Spending by Category'!$B$5:$B$505=$B11)*('Spending by Category'!$D$5:$D$505=$D11),0),0))="","",INDEX('Spending by Category'!$P$5:$P$505,MATCH(1,INDEX(('Spending by Category'!$B$5:$B$505=$B11)*('Spending by Category'!$D$5:$D$505=$D11),0),0))),"")</f>
        <v>9.0461743508048198E-3</v>
      </c>
      <c r="Q11" s="14">
        <f>IFERROR(IF(INDEX('Spending by Category'!$Q$5:$Q$505,MATCH(1,INDEX(('Spending by Category'!$B$5:$B$505=$B11)*('Spending by Category'!$D$5:$D$505=$D11),0),0))="","",INDEX('Spending by Category'!$Q$5:$Q$505,MATCH(1,INDEX(('Spending by Category'!$B$5:$B$505=$B11)*('Spending by Category'!$D$5:$D$505=$D11),0),0))),"")</f>
        <v>0.31181159893274152</v>
      </c>
      <c r="R11" s="14">
        <f>IFERROR(IF(INDEX('Spending by Category'!$R$5:$R$505,MATCH(1,INDEX(('Spending by Category'!$B$5:$B$505=$B11)*('Spending by Category'!$D$5:$D$505=$D11),0),0))="","",INDEX('Spending by Category'!$R$5:$R$505,MATCH(1,INDEX(('Spending by Category'!$B$5:$B$505=$B11)*('Spending by Category'!$D$5:$D$505=$D11),0),0))),"")</f>
        <v>1</v>
      </c>
      <c r="S11" s="14">
        <f>IFERROR(IF(INDEX('Spending by Category'!$Z$5:$Z$505,MATCH(1,INDEX(('Spending by Category'!$B$5:$B$505=$B11)*('Spending by Category'!$D$5:$D$505=$D11),0),0))="","",INDEX('Spending by Category'!$Z$5:$Z$505,MATCH(1,INDEX(('Spending by Category'!$B$5:$B$505=$B11)*('Spending by Category'!$D$5:$D$505=$D11),0),0))),"")</f>
        <v>4.4317016600000002E-2</v>
      </c>
    </row>
    <row r="12" spans="1:19" x14ac:dyDescent="0.2">
      <c r="A12" s="6" t="s">
        <v>56</v>
      </c>
      <c r="B12" s="6" t="s">
        <v>57</v>
      </c>
      <c r="C12" s="6" t="s">
        <v>49</v>
      </c>
      <c r="D12" s="15" t="str">
        <f>TEXT(SUMPRODUCT(MAX(('Spending by Category'!$B$5:$B$505=$B12)*('Spending by Category'!$D$5:$D$505+0))),"0")</f>
        <v>2021</v>
      </c>
      <c r="E12" s="15" t="str">
        <f>INDEX('Spending by Category'!$E$5:$E$505,MATCH(1,INDEX(('Spending by Category'!$B$5:$B$505=$B12)*('Spending by Category'!$D$5:$D$505=$D12),0),0))</f>
        <v>Central government (budgetary)</v>
      </c>
      <c r="F12" s="14">
        <f>IFERROR(IF(INDEX('Spending by Category'!$F$5:$F$505,MATCH(1,INDEX(('Spending by Category'!$B$5:$B$505=$B12)*('Spending by Category'!$D$5:$D$505=$D12),0),0))="","",INDEX('Spending by Category'!$F$5:$F$505,MATCH(1,INDEX(('Spending by Category'!$B$5:$B$505=$B12)*('Spending by Category'!$D$5:$D$505=$D12),0),0))),"")</f>
        <v>0.32703458705379129</v>
      </c>
      <c r="G12" s="14">
        <f>IFERROR(IF(INDEX('Spending by Category'!$G$5:$G$505,MATCH(1,INDEX(('Spending by Category'!$B$5:$B$505=$B12)*('Spending by Category'!$D$5:$D$505=$D12),0),0))="","",INDEX('Spending by Category'!$G$5:$G$505,MATCH(1,INDEX(('Spending by Category'!$B$5:$B$505=$B12)*('Spending by Category'!$D$5:$D$505=$D12),0),0))),"")</f>
        <v>6.4479222831136593E-2</v>
      </c>
      <c r="H12" s="14">
        <f>IFERROR(IF(INDEX('Spending by Category'!$H$5:$H$505,MATCH(1,INDEX(('Spending by Category'!$B$5:$B$505=$B12)*('Spending by Category'!$D$5:$D$505=$D12),0),0))="","",INDEX('Spending by Category'!$H$5:$H$505,MATCH(1,INDEX(('Spending by Category'!$B$5:$B$505=$B12)*('Spending by Category'!$D$5:$D$505=$D12),0),0))),"")</f>
        <v>6.6754521503755007E-2</v>
      </c>
      <c r="I12" s="14">
        <f>IFERROR(IF(INDEX('Spending by Category'!$I$5:$I$505,MATCH(1,INDEX(('Spending by Category'!$B$5:$B$505=$B12)*('Spending by Category'!$D$5:$D$505=$D12),0),0))="","",INDEX('Spending by Category'!$I$5:$I$505,MATCH(1,INDEX(('Spending by Category'!$B$5:$B$505=$B12)*('Spending by Category'!$D$5:$D$505=$D12),0),0))),"")</f>
        <v>4.2719604782932803E-2</v>
      </c>
      <c r="J12" s="14">
        <f>IFERROR(IF(INDEX('Spending by Category'!$J$5:$J$505,MATCH(1,INDEX(('Spending by Category'!$B$5:$B$505=$B12)*('Spending by Category'!$D$5:$D$505=$D12),0),0))="","",INDEX('Spending by Category'!$J$5:$J$505,MATCH(1,INDEX(('Spending by Category'!$B$5:$B$505=$B12)*('Spending by Category'!$D$5:$D$505=$D12),0),0))),"")</f>
        <v>0.190605222852576</v>
      </c>
      <c r="K12" s="14">
        <f>IFERROR(IF(INDEX('Spending by Category'!$K$5:$K$505,MATCH(1,INDEX(('Spending by Category'!$B$5:$B$505=$B12)*('Spending by Category'!$D$5:$D$505=$D12),0),0))="","",INDEX('Spending by Category'!$K$5:$K$505,MATCH(1,INDEX(('Spending by Category'!$B$5:$B$505=$B12)*('Spending by Category'!$D$5:$D$505=$D12),0),0))),"")</f>
        <v>1.3486388073121101E-3</v>
      </c>
      <c r="L12" s="14">
        <f>IFERROR(IF(INDEX('Spending by Category'!$L$5:$L$505,MATCH(1,INDEX(('Spending by Category'!$B$5:$B$505=$B12)*('Spending by Category'!$D$5:$D$505=$D12),0),0))="","",INDEX('Spending by Category'!$L$5:$L$505,MATCH(1,INDEX(('Spending by Category'!$B$5:$B$505=$B12)*('Spending by Category'!$D$5:$D$505=$D12),0),0))),"")</f>
        <v>3.9575062553884502E-2</v>
      </c>
      <c r="M12" s="16">
        <f>IFERROR(IF(INDEX('Spending by Category'!$M$5:$M$505,MATCH(1,INDEX(('Spending by Category'!$B$5:$B$505=$B12)*('Spending by Category'!$D$5:$D$505=$D12),0),0))="","",INDEX('Spending by Category'!$M$5:$M$505,MATCH(1,INDEX(('Spending by Category'!$B$5:$B$505=$B12)*('Spending by Category'!$D$5:$D$505=$D12),0),0))),"")</f>
        <v>5.9021733248392987E-2</v>
      </c>
      <c r="N12" s="14">
        <f>IFERROR(IF(INDEX('Spending by Category'!$N$5:$N$505,MATCH(1,INDEX(('Spending by Category'!$B$5:$B$505=$B12)*('Spending by Category'!$D$5:$D$505=$D12),0),0))="","",INDEX('Spending by Category'!$N$5:$N$505,MATCH(1,INDEX(('Spending by Category'!$B$5:$B$505=$B12)*('Spending by Category'!$D$5:$D$505=$D12),0),0))),"")</f>
        <v>2.07378534237289E-2</v>
      </c>
      <c r="O12" s="14">
        <f>IFERROR(IF(INDEX('Spending by Category'!$O$5:$O$505,MATCH(1,INDEX(('Spending by Category'!$B$5:$B$505=$B12)*('Spending by Category'!$D$5:$D$505=$D12),0),0))="","",INDEX('Spending by Category'!$O$5:$O$505,MATCH(1,INDEX(('Spending by Category'!$B$5:$B$505=$B12)*('Spending by Category'!$D$5:$D$505=$D12),0),0))),"")</f>
        <v>0.182176073101873</v>
      </c>
      <c r="P12" s="14">
        <f>IFERROR(IF(INDEX('Spending by Category'!$P$5:$P$505,MATCH(1,INDEX(('Spending by Category'!$B$5:$B$505=$B12)*('Spending by Category'!$D$5:$D$505=$D12),0),0))="","",INDEX('Spending by Category'!$P$5:$P$505,MATCH(1,INDEX(('Spending by Category'!$B$5:$B$505=$B12)*('Spending by Category'!$D$5:$D$505=$D12),0),0))),"")</f>
        <v>5.5474798406164004E-3</v>
      </c>
      <c r="Q12" s="14" t="str">
        <f>IFERROR(IF(INDEX('Spending by Category'!$Q$5:$Q$505,MATCH(1,INDEX(('Spending by Category'!$B$5:$B$505=$B12)*('Spending by Category'!$D$5:$D$505=$D12),0),0))="","",INDEX('Spending by Category'!$Q$5:$Q$505,MATCH(1,INDEX(('Spending by Category'!$B$5:$B$505=$B12)*('Spending by Category'!$D$5:$D$505=$D12),0),0))),"")</f>
        <v/>
      </c>
      <c r="R12" s="14">
        <f>IFERROR(IF(INDEX('Spending by Category'!$R$5:$R$505,MATCH(1,INDEX(('Spending by Category'!$B$5:$B$505=$B12)*('Spending by Category'!$D$5:$D$505=$D12),0),0))="","",INDEX('Spending by Category'!$R$5:$R$505,MATCH(1,INDEX(('Spending by Category'!$B$5:$B$505=$B12)*('Spending by Category'!$D$5:$D$505=$D12),0),0))),"")</f>
        <v>0.99999999999999967</v>
      </c>
      <c r="S12" s="14">
        <f>IFERROR(IF(INDEX('Spending by Category'!$Z$5:$Z$505,MATCH(1,INDEX(('Spending by Category'!$B$5:$B$505=$B12)*('Spending by Category'!$D$5:$D$505=$D12),0),0))="","",INDEX('Spending by Category'!$Z$5:$Z$505,MATCH(1,INDEX(('Spending by Category'!$B$5:$B$505=$B12)*('Spending by Category'!$D$5:$D$505=$D12),0),0))),"")</f>
        <v>2.8629238599999999E-2</v>
      </c>
    </row>
    <row r="13" spans="1:19" x14ac:dyDescent="0.2">
      <c r="A13" s="6" t="s">
        <v>58</v>
      </c>
      <c r="B13" s="6" t="s">
        <v>59</v>
      </c>
      <c r="C13" s="6"/>
      <c r="D13" s="15" t="str">
        <f>TEXT(SUMPRODUCT(MAX(('Spending by Category'!$B$5:$B$505=$B13)*('Spending by Category'!$D$5:$D$505+0))),"0")</f>
        <v>2010</v>
      </c>
      <c r="E13" s="15" t="str">
        <f>INDEX('Spending by Category'!$E$5:$E$505,MATCH(1,INDEX(('Spending by Category'!$B$5:$B$505=$B13)*('Spending by Category'!$D$5:$D$505=$D13),0),0))</f>
        <v>Central government (budgetary)</v>
      </c>
      <c r="F13" s="14">
        <f>IFERROR(IF(INDEX('Spending by Category'!$F$5:$F$505,MATCH(1,INDEX(('Spending by Category'!$B$5:$B$505=$B13)*('Spending by Category'!$D$5:$D$505=$D13),0),0))="","",INDEX('Spending by Category'!$F$5:$F$505,MATCH(1,INDEX(('Spending by Category'!$B$5:$B$505=$B13)*('Spending by Category'!$D$5:$D$505=$D13),0),0))),"")</f>
        <v>0.23248200466759389</v>
      </c>
      <c r="G13" s="14">
        <f>IFERROR(IF(INDEX('Spending by Category'!$G$5:$G$505,MATCH(1,INDEX(('Spending by Category'!$B$5:$B$505=$B13)*('Spending by Category'!$D$5:$D$505=$D13),0),0))="","",INDEX('Spending by Category'!$G$5:$G$505,MATCH(1,INDEX(('Spending by Category'!$B$5:$B$505=$B13)*('Spending by Category'!$D$5:$D$505=$D13),0),0))),"")</f>
        <v>3.8260754981560098E-2</v>
      </c>
      <c r="H13" s="14">
        <f>IFERROR(IF(INDEX('Spending by Category'!$H$5:$H$505,MATCH(1,INDEX(('Spending by Category'!$B$5:$B$505=$B13)*('Spending by Category'!$D$5:$D$505=$D13),0),0))="","",INDEX('Spending by Category'!$H$5:$H$505,MATCH(1,INDEX(('Spending by Category'!$B$5:$B$505=$B13)*('Spending by Category'!$D$5:$D$505=$D13),0),0))),"")</f>
        <v>9.6954963876522693E-2</v>
      </c>
      <c r="I13" s="14">
        <f>IFERROR(IF(INDEX('Spending by Category'!$I$5:$I$505,MATCH(1,INDEX(('Spending by Category'!$B$5:$B$505=$B13)*('Spending by Category'!$D$5:$D$505=$D13),0),0))="","",INDEX('Spending by Category'!$I$5:$I$505,MATCH(1,INDEX(('Spending by Category'!$B$5:$B$505=$B13)*('Spending by Category'!$D$5:$D$505=$D13),0),0))),"")</f>
        <v>1.2793917475799501E-2</v>
      </c>
      <c r="J13" s="14">
        <f>IFERROR(IF(INDEX('Spending by Category'!$J$5:$J$505,MATCH(1,INDEX(('Spending by Category'!$B$5:$B$505=$B13)*('Spending by Category'!$D$5:$D$505=$D13),0),0))="","",INDEX('Spending by Category'!$J$5:$J$505,MATCH(1,INDEX(('Spending by Category'!$B$5:$B$505=$B13)*('Spending by Category'!$D$5:$D$505=$D13),0),0))),"")</f>
        <v>5.8058462770797098E-2</v>
      </c>
      <c r="K13" s="14">
        <f>IFERROR(IF(INDEX('Spending by Category'!$K$5:$K$505,MATCH(1,INDEX(('Spending by Category'!$B$5:$B$505=$B13)*('Spending by Category'!$D$5:$D$505=$D13),0),0))="","",INDEX('Spending by Category'!$K$5:$K$505,MATCH(1,INDEX(('Spending by Category'!$B$5:$B$505=$B13)*('Spending by Category'!$D$5:$D$505=$D13),0),0))),"")</f>
        <v>0</v>
      </c>
      <c r="L13" s="14">
        <f>IFERROR(IF(INDEX('Spending by Category'!$L$5:$L$505,MATCH(1,INDEX(('Spending by Category'!$B$5:$B$505=$B13)*('Spending by Category'!$D$5:$D$505=$D13),0),0))="","",INDEX('Spending by Category'!$L$5:$L$505,MATCH(1,INDEX(('Spending by Category'!$B$5:$B$505=$B13)*('Spending by Category'!$D$5:$D$505=$D13),0),0))),"")</f>
        <v>2.162769362398E-2</v>
      </c>
      <c r="M13" s="16">
        <f>IFERROR(IF(INDEX('Spending by Category'!$M$5:$M$505,MATCH(1,INDEX(('Spending by Category'!$B$5:$B$505=$B13)*('Spending by Category'!$D$5:$D$505=$D13),0),0))="","",INDEX('Spending by Category'!$M$5:$M$505,MATCH(1,INDEX(('Spending by Category'!$B$5:$B$505=$B13)*('Spending by Category'!$D$5:$D$505=$D13),0),0))),"")</f>
        <v>2.61531870386526E-2</v>
      </c>
      <c r="N13" s="14">
        <f>IFERROR(IF(INDEX('Spending by Category'!$N$5:$N$505,MATCH(1,INDEX(('Spending by Category'!$B$5:$B$505=$B13)*('Spending by Category'!$D$5:$D$505=$D13),0),0))="","",INDEX('Spending by Category'!$N$5:$N$505,MATCH(1,INDEX(('Spending by Category'!$B$5:$B$505=$B13)*('Spending by Category'!$D$5:$D$505=$D13),0),0))),"")</f>
        <v>7.37336617762152E-3</v>
      </c>
      <c r="O13" s="14">
        <f>IFERROR(IF(INDEX('Spending by Category'!$O$5:$O$505,MATCH(1,INDEX(('Spending by Category'!$B$5:$B$505=$B13)*('Spending by Category'!$D$5:$D$505=$D13),0),0))="","",INDEX('Spending by Category'!$O$5:$O$505,MATCH(1,INDEX(('Spending by Category'!$B$5:$B$505=$B13)*('Spending by Category'!$D$5:$D$505=$D13),0),0))),"")</f>
        <v>4.6292448093641497E-2</v>
      </c>
      <c r="P13" s="14">
        <f>IFERROR(IF(INDEX('Spending by Category'!$P$5:$P$505,MATCH(1,INDEX(('Spending by Category'!$B$5:$B$505=$B13)*('Spending by Category'!$D$5:$D$505=$D13),0),0))="","",INDEX('Spending by Category'!$P$5:$P$505,MATCH(1,INDEX(('Spending by Category'!$B$5:$B$505=$B13)*('Spending by Category'!$D$5:$D$505=$D13),0),0))),"")</f>
        <v>2.6189801650551301E-3</v>
      </c>
      <c r="Q13" s="14">
        <f>IFERROR(IF(INDEX('Spending by Category'!$Q$5:$Q$505,MATCH(1,INDEX(('Spending by Category'!$B$5:$B$505=$B13)*('Spending by Category'!$D$5:$D$505=$D13),0),0))="","",INDEX('Spending by Category'!$Q$5:$Q$505,MATCH(1,INDEX(('Spending by Category'!$B$5:$B$505=$B13)*('Spending by Category'!$D$5:$D$505=$D13),0),0))),"")</f>
        <v>0.45738422112877591</v>
      </c>
      <c r="R13" s="14">
        <f>IFERROR(IF(INDEX('Spending by Category'!$R$5:$R$505,MATCH(1,INDEX(('Spending by Category'!$B$5:$B$505=$B13)*('Spending by Category'!$D$5:$D$505=$D13),0),0))="","",INDEX('Spending by Category'!$R$5:$R$505,MATCH(1,INDEX(('Spending by Category'!$B$5:$B$505=$B13)*('Spending by Category'!$D$5:$D$505=$D13),0),0))),"")</f>
        <v>1</v>
      </c>
      <c r="S13" s="14">
        <f>IFERROR(IF(INDEX('Spending by Category'!$Z$5:$Z$505,MATCH(1,INDEX(('Spending by Category'!$B$5:$B$505=$B13)*('Spending by Category'!$D$5:$D$505=$D13),0),0))="","",INDEX('Spending by Category'!$Z$5:$Z$505,MATCH(1,INDEX(('Spending by Category'!$B$5:$B$505=$B13)*('Spending by Category'!$D$5:$D$505=$D13),0),0))),"")</f>
        <v>3.3414733399999987E-2</v>
      </c>
    </row>
    <row r="14" spans="1:19" x14ac:dyDescent="0.2">
      <c r="A14" s="6" t="s">
        <v>66</v>
      </c>
      <c r="B14" s="6" t="s">
        <v>67</v>
      </c>
      <c r="C14" s="6"/>
      <c r="D14" s="15" t="str">
        <f>TEXT(SUMPRODUCT(MAX(('Spending by Category'!$B$5:$B$505=$B14)*('Spending by Category'!$D$5:$D$505+0))),"0")</f>
        <v>2024</v>
      </c>
      <c r="E14" s="15" t="str">
        <f>INDEX('Spending by Category'!$E$5:$E$505,MATCH(1,INDEX(('Spending by Category'!$B$5:$B$505=$B14)*('Spending by Category'!$D$5:$D$505=$D14),0),0))</f>
        <v>General government</v>
      </c>
      <c r="F14" s="14">
        <f>IFERROR(IF(INDEX('Spending by Category'!$F$5:$F$505,MATCH(1,INDEX(('Spending by Category'!$B$5:$B$505=$B14)*('Spending by Category'!$D$5:$D$505=$D14),0),0))="","",INDEX('Spending by Category'!$F$5:$F$505,MATCH(1,INDEX(('Spending by Category'!$B$5:$B$505=$B14)*('Spending by Category'!$D$5:$D$505=$D14),0),0))),"")</f>
        <v>9.2848887226988003E-2</v>
      </c>
      <c r="G14" s="14">
        <f>IFERROR(IF(INDEX('Spending by Category'!$G$5:$G$505,MATCH(1,INDEX(('Spending by Category'!$B$5:$B$505=$B14)*('Spending by Category'!$D$5:$D$505=$D14),0),0))="","",INDEX('Spending by Category'!$G$5:$G$505,MATCH(1,INDEX(('Spending by Category'!$B$5:$B$505=$B14)*('Spending by Category'!$D$5:$D$505=$D14),0),0))),"")</f>
        <v>0.16533634957075991</v>
      </c>
      <c r="H14" s="14">
        <f>IFERROR(IF(INDEX('Spending by Category'!$H$5:$H$505,MATCH(1,INDEX(('Spending by Category'!$B$5:$B$505=$B14)*('Spending by Category'!$D$5:$D$505=$D14),0),0))="","",INDEX('Spending by Category'!$H$5:$H$505,MATCH(1,INDEX(('Spending by Category'!$B$5:$B$505=$B14)*('Spending by Category'!$D$5:$D$505=$D14),0),0))),"")</f>
        <v>3.401733258801895E-2</v>
      </c>
      <c r="I14" s="14">
        <f>IFERROR(IF(INDEX('Spending by Category'!$I$5:$I$505,MATCH(1,INDEX(('Spending by Category'!$B$5:$B$505=$B14)*('Spending by Category'!$D$5:$D$505=$D14),0),0))="","",INDEX('Spending by Category'!$I$5:$I$505,MATCH(1,INDEX(('Spending by Category'!$B$5:$B$505=$B14)*('Spending by Category'!$D$5:$D$505=$D14),0),0))),"")</f>
        <v>4.5579021637668513E-2</v>
      </c>
      <c r="J14" s="14">
        <f>IFERROR(IF(INDEX('Spending by Category'!$J$5:$J$505,MATCH(1,INDEX(('Spending by Category'!$B$5:$B$505=$B14)*('Spending by Category'!$D$5:$D$505=$D14),0),0))="","",INDEX('Spending by Category'!$J$5:$J$505,MATCH(1,INDEX(('Spending by Category'!$B$5:$B$505=$B14)*('Spending by Category'!$D$5:$D$505=$D14),0),0))),"")</f>
        <v>0.1957237021970995</v>
      </c>
      <c r="K14" s="14">
        <f>IFERROR(IF(INDEX('Spending by Category'!$K$5:$K$505,MATCH(1,INDEX(('Spending by Category'!$B$5:$B$505=$B14)*('Spending by Category'!$D$5:$D$505=$D14),0),0))="","",INDEX('Spending by Category'!$K$5:$K$505,MATCH(1,INDEX(('Spending by Category'!$B$5:$B$505=$B14)*('Spending by Category'!$D$5:$D$505=$D14),0),0))),"")</f>
        <v>1.345890361905158E-2</v>
      </c>
      <c r="L14" s="14">
        <f>IFERROR(IF(INDEX('Spending by Category'!$L$5:$L$505,MATCH(1,INDEX(('Spending by Category'!$B$5:$B$505=$B14)*('Spending by Category'!$D$5:$D$505=$D14),0),0))="","",INDEX('Spending by Category'!$L$5:$L$505,MATCH(1,INDEX(('Spending by Category'!$B$5:$B$505=$B14)*('Spending by Category'!$D$5:$D$505=$D14),0),0))),"")</f>
        <v>2.3389792127733941E-2</v>
      </c>
      <c r="M14" s="16">
        <f>IFERROR(IF(INDEX('Spending by Category'!$M$5:$M$505,MATCH(1,INDEX(('Spending by Category'!$B$5:$B$505=$B14)*('Spending by Category'!$D$5:$D$505=$D14),0),0))="","",INDEX('Spending by Category'!$M$5:$M$505,MATCH(1,INDEX(('Spending by Category'!$B$5:$B$505=$B14)*('Spending by Category'!$D$5:$D$505=$D14),0),0))),"")</f>
        <v>6.7427203584849285E-2</v>
      </c>
      <c r="N14" s="14">
        <f>IFERROR(IF(INDEX('Spending by Category'!$N$5:$N$505,MATCH(1,INDEX(('Spending by Category'!$B$5:$B$505=$B14)*('Spending by Category'!$D$5:$D$505=$D14),0),0))="","",INDEX('Spending by Category'!$N$5:$N$505,MATCH(1,INDEX(('Spending by Category'!$B$5:$B$505=$B14)*('Spending by Category'!$D$5:$D$505=$D14),0),0))),"")</f>
        <v>9.155318415639822E-3</v>
      </c>
      <c r="O14" s="14">
        <f>IFERROR(IF(INDEX('Spending by Category'!$O$5:$O$505,MATCH(1,INDEX(('Spending by Category'!$B$5:$B$505=$B14)*('Spending by Category'!$D$5:$D$505=$D14),0),0))="","",INDEX('Spending by Category'!$O$5:$O$505,MATCH(1,INDEX(('Spending by Category'!$B$5:$B$505=$B14)*('Spending by Category'!$D$5:$D$505=$D14),0),0))),"")</f>
        <v>0.1987896795034908</v>
      </c>
      <c r="P14" s="14">
        <f>IFERROR(IF(INDEX('Spending by Category'!$P$5:$P$505,MATCH(1,INDEX(('Spending by Category'!$B$5:$B$505=$B14)*('Spending by Category'!$D$5:$D$505=$D14),0),0))="","",INDEX('Spending by Category'!$P$5:$P$505,MATCH(1,INDEX(('Spending by Category'!$B$5:$B$505=$B14)*('Spending by Category'!$D$5:$D$505=$D14),0),0))),"")</f>
        <v>0.1542738095287001</v>
      </c>
      <c r="Q14" s="14" t="str">
        <f>IFERROR(IF(INDEX('Spending by Category'!$Q$5:$Q$505,MATCH(1,INDEX(('Spending by Category'!$B$5:$B$505=$B14)*('Spending by Category'!$D$5:$D$505=$D14),0),0))="","",INDEX('Spending by Category'!$Q$5:$Q$505,MATCH(1,INDEX(('Spending by Category'!$B$5:$B$505=$B14)*('Spending by Category'!$D$5:$D$505=$D14),0),0))),"")</f>
        <v/>
      </c>
      <c r="R14" s="14">
        <f>IFERROR(IF(INDEX('Spending by Category'!$R$5:$R$505,MATCH(1,INDEX(('Spending by Category'!$B$5:$B$505=$B14)*('Spending by Category'!$D$5:$D$505=$D14),0),0))="","",INDEX('Spending by Category'!$R$5:$R$505,MATCH(1,INDEX(('Spending by Category'!$B$5:$B$505=$B14)*('Spending by Category'!$D$5:$D$505=$D14),0),0))),"")</f>
        <v>1.0000000000000004</v>
      </c>
      <c r="S14" s="14" t="str">
        <f>IFERROR(IF(INDEX('Spending by Category'!$Z$5:$Z$505,MATCH(1,INDEX(('Spending by Category'!$B$5:$B$505=$B14)*('Spending by Category'!$D$5:$D$505=$D14),0),0))="","",INDEX('Spending by Category'!$Z$5:$Z$505,MATCH(1,INDEX(('Spending by Category'!$B$5:$B$505=$B14)*('Spending by Category'!$D$5:$D$505=$D14),0),0))),"")</f>
        <v/>
      </c>
    </row>
    <row r="15" spans="1:19" x14ac:dyDescent="0.2">
      <c r="A15" s="6" t="s">
        <v>68</v>
      </c>
      <c r="B15" s="6" t="s">
        <v>69</v>
      </c>
      <c r="C15" s="6"/>
      <c r="D15" s="15" t="str">
        <f>TEXT(SUMPRODUCT(MAX(('Spending by Category'!$B$5:$B$505=$B15)*('Spending by Category'!$D$5:$D$505+0))),"0")</f>
        <v>2015</v>
      </c>
      <c r="E15" s="15" t="str">
        <f>INDEX('Spending by Category'!$E$5:$E$505,MATCH(1,INDEX(('Spending by Category'!$B$5:$B$505=$B15)*('Spending by Category'!$D$5:$D$505=$D15),0),0))</f>
        <v>General government</v>
      </c>
      <c r="F15" s="14">
        <f>IFERROR(IF(INDEX('Spending by Category'!$F$5:$F$505,MATCH(1,INDEX(('Spending by Category'!$B$5:$B$505=$B15)*('Spending by Category'!$D$5:$D$505=$D15),0),0))="","",INDEX('Spending by Category'!$F$5:$F$505,MATCH(1,INDEX(('Spending by Category'!$B$5:$B$505=$B15)*('Spending by Category'!$D$5:$D$505=$D15),0),0))),"")</f>
        <v>6.6360002498282E-2</v>
      </c>
      <c r="G15" s="14">
        <f>IFERROR(IF(INDEX('Spending by Category'!$G$5:$G$505,MATCH(1,INDEX(('Spending by Category'!$B$5:$B$505=$B15)*('Spending by Category'!$D$5:$D$505=$D15),0),0))="","",INDEX('Spending by Category'!$G$5:$G$505,MATCH(1,INDEX(('Spending by Category'!$B$5:$B$505=$B15)*('Spending by Category'!$D$5:$D$505=$D15),0),0))),"")</f>
        <v>0.22363999750171801</v>
      </c>
      <c r="H15" s="14">
        <f>IFERROR(IF(INDEX('Spending by Category'!$H$5:$H$505,MATCH(1,INDEX(('Spending by Category'!$B$5:$B$505=$B15)*('Spending by Category'!$D$5:$D$505=$D15),0),0))="","",INDEX('Spending by Category'!$H$5:$H$505,MATCH(1,INDEX(('Spending by Category'!$B$5:$B$505=$B15)*('Spending by Category'!$D$5:$D$505=$D15),0),0))),"")</f>
        <v>0.06</v>
      </c>
      <c r="I15" s="14">
        <f>IFERROR(IF(INDEX('Spending by Category'!$I$5:$I$505,MATCH(1,INDEX(('Spending by Category'!$B$5:$B$505=$B15)*('Spending by Category'!$D$5:$D$505=$D15),0),0))="","",INDEX('Spending by Category'!$I$5:$I$505,MATCH(1,INDEX(('Spending by Category'!$B$5:$B$505=$B15)*('Spending by Category'!$D$5:$D$505=$D15),0),0))),"")</f>
        <v>0.06</v>
      </c>
      <c r="J15" s="14">
        <f>IFERROR(IF(INDEX('Spending by Category'!$J$5:$J$505,MATCH(1,INDEX(('Spending by Category'!$B$5:$B$505=$B15)*('Spending by Category'!$D$5:$D$505=$D15),0),0))="","",INDEX('Spending by Category'!$J$5:$J$505,MATCH(1,INDEX(('Spending by Category'!$B$5:$B$505=$B15)*('Spending by Category'!$D$5:$D$505=$D15),0),0))),"")</f>
        <v>0.06</v>
      </c>
      <c r="K15" s="14">
        <f>IFERROR(IF(INDEX('Spending by Category'!$K$5:$K$505,MATCH(1,INDEX(('Spending by Category'!$B$5:$B$505=$B15)*('Spending by Category'!$D$5:$D$505=$D15),0),0))="","",INDEX('Spending by Category'!$K$5:$K$505,MATCH(1,INDEX(('Spending by Category'!$B$5:$B$505=$B15)*('Spending by Category'!$D$5:$D$505=$D15),0),0))),"")</f>
        <v>3.0000000000000001E-3</v>
      </c>
      <c r="L15" s="14">
        <f>IFERROR(IF(INDEX('Spending by Category'!$L$5:$L$505,MATCH(1,INDEX(('Spending by Category'!$B$5:$B$505=$B15)*('Spending by Category'!$D$5:$D$505=$D15),0),0))="","",INDEX('Spending by Category'!$L$5:$L$505,MATCH(1,INDEX(('Spending by Category'!$B$5:$B$505=$B15)*('Spending by Category'!$D$5:$D$505=$D15),0),0))),"")</f>
        <v>0.03</v>
      </c>
      <c r="M15" s="16">
        <f>IFERROR(IF(INDEX('Spending by Category'!$M$5:$M$505,MATCH(1,INDEX(('Spending by Category'!$B$5:$B$505=$B15)*('Spending by Category'!$D$5:$D$505=$D15),0),0))="","",INDEX('Spending by Category'!$M$5:$M$505,MATCH(1,INDEX(('Spending by Category'!$B$5:$B$505=$B15)*('Spending by Category'!$D$5:$D$505=$D15),0),0))),"")</f>
        <v>0.05</v>
      </c>
      <c r="N15" s="14">
        <f>IFERROR(IF(INDEX('Spending by Category'!$N$5:$N$505,MATCH(1,INDEX(('Spending by Category'!$B$5:$B$505=$B15)*('Spending by Category'!$D$5:$D$505=$D15),0),0))="","",INDEX('Spending by Category'!$N$5:$N$505,MATCH(1,INDEX(('Spending by Category'!$B$5:$B$505=$B15)*('Spending by Category'!$D$5:$D$505=$D15),0),0))),"")</f>
        <v>0.04</v>
      </c>
      <c r="O15" s="14">
        <f>IFERROR(IF(INDEX('Spending by Category'!$O$5:$O$505,MATCH(1,INDEX(('Spending by Category'!$B$5:$B$505=$B15)*('Spending by Category'!$D$5:$D$505=$D15),0),0))="","",INDEX('Spending by Category'!$O$5:$O$505,MATCH(1,INDEX(('Spending by Category'!$B$5:$B$505=$B15)*('Spending by Category'!$D$5:$D$505=$D15),0),0))),"")</f>
        <v>0.12</v>
      </c>
      <c r="P15" s="14">
        <f>IFERROR(IF(INDEX('Spending by Category'!$P$5:$P$505,MATCH(1,INDEX(('Spending by Category'!$B$5:$B$505=$B15)*('Spending by Category'!$D$5:$D$505=$D15),0),0))="","",INDEX('Spending by Category'!$P$5:$P$505,MATCH(1,INDEX(('Spending by Category'!$B$5:$B$505=$B15)*('Spending by Category'!$D$5:$D$505=$D15),0),0))),"")</f>
        <v>0.28999999999999998</v>
      </c>
      <c r="Q15" s="14" t="str">
        <f>IFERROR(IF(INDEX('Spending by Category'!$Q$5:$Q$505,MATCH(1,INDEX(('Spending by Category'!$B$5:$B$505=$B15)*('Spending by Category'!$D$5:$D$505=$D15),0),0))="","",INDEX('Spending by Category'!$Q$5:$Q$505,MATCH(1,INDEX(('Spending by Category'!$B$5:$B$505=$B15)*('Spending by Category'!$D$5:$D$505=$D15),0),0))),"")</f>
        <v/>
      </c>
      <c r="R15" s="14">
        <f>IFERROR(IF(INDEX('Spending by Category'!$R$5:$R$505,MATCH(1,INDEX(('Spending by Category'!$B$5:$B$505=$B15)*('Spending by Category'!$D$5:$D$505=$D15),0),0))="","",INDEX('Spending by Category'!$R$5:$R$505,MATCH(1,INDEX(('Spending by Category'!$B$5:$B$505=$B15)*('Spending by Category'!$D$5:$D$505=$D15),0),0))),"")</f>
        <v>1.0030000000000001</v>
      </c>
      <c r="S15" s="14">
        <f>IFERROR(IF(INDEX('Spending by Category'!$Z$5:$Z$505,MATCH(1,INDEX(('Spending by Category'!$B$5:$B$505=$B15)*('Spending by Category'!$D$5:$D$505=$D15),0),0))="","",INDEX('Spending by Category'!$Z$5:$Z$505,MATCH(1,INDEX(('Spending by Category'!$B$5:$B$505=$B15)*('Spending by Category'!$D$5:$D$505=$D15),0),0))),"")</f>
        <v>5.0579767200000007E-2</v>
      </c>
    </row>
    <row r="16" spans="1:19" x14ac:dyDescent="0.2">
      <c r="A16" s="6" t="s">
        <v>70</v>
      </c>
      <c r="B16" s="6" t="s">
        <v>71</v>
      </c>
      <c r="C16" s="6"/>
      <c r="D16" s="15" t="str">
        <f>TEXT(SUMPRODUCT(MAX(('Spending by Category'!$B$5:$B$505=$B16)*('Spending by Category'!$D$5:$D$505+0))),"0")</f>
        <v>2024</v>
      </c>
      <c r="E16" s="15" t="str">
        <f>INDEX('Spending by Category'!$E$5:$E$505,MATCH(1,INDEX(('Spending by Category'!$B$5:$B$505=$B16)*('Spending by Category'!$D$5:$D$505=$D16),0),0))</f>
        <v>General government</v>
      </c>
      <c r="F16" s="14">
        <f>IFERROR(IF(INDEX('Spending by Category'!$F$5:$F$505,MATCH(1,INDEX(('Spending by Category'!$B$5:$B$505=$B16)*('Spending by Category'!$D$5:$D$505=$D16),0),0))="","",INDEX('Spending by Category'!$F$5:$F$505,MATCH(1,INDEX(('Spending by Category'!$B$5:$B$505=$B16)*('Spending by Category'!$D$5:$D$505=$D16),0),0))),"")</f>
        <v>7.2871463577634188E-2</v>
      </c>
      <c r="G16" s="14">
        <f>IFERROR(IF(INDEX('Spending by Category'!$G$5:$G$505,MATCH(1,INDEX(('Spending by Category'!$B$5:$B$505=$B16)*('Spending by Category'!$D$5:$D$505=$D16),0),0))="","",INDEX('Spending by Category'!$G$5:$G$505,MATCH(1,INDEX(('Spending by Category'!$B$5:$B$505=$B16)*('Spending by Category'!$D$5:$D$505=$D16),0),0))),"")</f>
        <v>0.14361327689908671</v>
      </c>
      <c r="H16" s="14">
        <f>IFERROR(IF(INDEX('Spending by Category'!$H$5:$H$505,MATCH(1,INDEX(('Spending by Category'!$B$5:$B$505=$B16)*('Spending by Category'!$D$5:$D$505=$D16),0),0))="","",INDEX('Spending by Category'!$H$5:$H$505,MATCH(1,INDEX(('Spending by Category'!$B$5:$B$505=$B16)*('Spending by Category'!$D$5:$D$505=$D16),0),0))),"")</f>
        <v>3.0634885275116951E-2</v>
      </c>
      <c r="I16" s="14">
        <f>IFERROR(IF(INDEX('Spending by Category'!$I$5:$I$505,MATCH(1,INDEX(('Spending by Category'!$B$5:$B$505=$B16)*('Spending by Category'!$D$5:$D$505=$D16),0),0))="","",INDEX('Spending by Category'!$I$5:$I$505,MATCH(1,INDEX(('Spending by Category'!$B$5:$B$505=$B16)*('Spending by Category'!$D$5:$D$505=$D16),0),0))),"")</f>
        <v>0.13210069057696591</v>
      </c>
      <c r="J16" s="14">
        <f>IFERROR(IF(INDEX('Spending by Category'!$J$5:$J$505,MATCH(1,INDEX(('Spending by Category'!$B$5:$B$505=$B16)*('Spending by Category'!$D$5:$D$505=$D16),0),0))="","",INDEX('Spending by Category'!$J$5:$J$505,MATCH(1,INDEX(('Spending by Category'!$B$5:$B$505=$B16)*('Spending by Category'!$D$5:$D$505=$D16),0),0))),"")</f>
        <v>9.1833370461127203E-2</v>
      </c>
      <c r="K16" s="14">
        <f>IFERROR(IF(INDEX('Spending by Category'!$K$5:$K$505,MATCH(1,INDEX(('Spending by Category'!$B$5:$B$505=$B16)*('Spending by Category'!$D$5:$D$505=$D16),0),0))="","",INDEX('Spending by Category'!$K$5:$K$505,MATCH(1,INDEX(('Spending by Category'!$B$5:$B$505=$B16)*('Spending by Category'!$D$5:$D$505=$D16),0),0))),"")</f>
        <v>1.5495656048117619E-2</v>
      </c>
      <c r="L16" s="14">
        <f>IFERROR(IF(INDEX('Spending by Category'!$L$5:$L$505,MATCH(1,INDEX(('Spending by Category'!$B$5:$B$505=$B16)*('Spending by Category'!$D$5:$D$505=$D16),0),0))="","",INDEX('Spending by Category'!$L$5:$L$505,MATCH(1,INDEX(('Spending by Category'!$B$5:$B$505=$B16)*('Spending by Category'!$D$5:$D$505=$D16),0),0))),"")</f>
        <v>5.995099131209624E-2</v>
      </c>
      <c r="M16" s="16">
        <f>IFERROR(IF(INDEX('Spending by Category'!$M$5:$M$505,MATCH(1,INDEX(('Spending by Category'!$B$5:$B$505=$B16)*('Spending by Category'!$D$5:$D$505=$D16),0),0))="","",INDEX('Spending by Category'!$M$5:$M$505,MATCH(1,INDEX(('Spending by Category'!$B$5:$B$505=$B16)*('Spending by Category'!$D$5:$D$505=$D16),0),0))),"")</f>
        <v>0.18631321006905771</v>
      </c>
      <c r="N16" s="14">
        <f>IFERROR(IF(INDEX('Spending by Category'!$N$5:$N$505,MATCH(1,INDEX(('Spending by Category'!$B$5:$B$505=$B16)*('Spending by Category'!$D$5:$D$505=$D16),0),0))="","",INDEX('Spending by Category'!$N$5:$N$505,MATCH(1,INDEX(('Spending by Category'!$B$5:$B$505=$B16)*('Spending by Category'!$D$5:$D$505=$D16),0),0))),"")</f>
        <v>1.321452439296057E-2</v>
      </c>
      <c r="O16" s="14">
        <f>IFERROR(IF(INDEX('Spending by Category'!$O$5:$O$505,MATCH(1,INDEX(('Spending by Category'!$B$5:$B$505=$B16)*('Spending by Category'!$D$5:$D$505=$D16),0),0))="","",INDEX('Spending by Category'!$O$5:$O$505,MATCH(1,INDEX(('Spending by Category'!$B$5:$B$505=$B16)*('Spending by Category'!$D$5:$D$505=$D16),0),0))),"")</f>
        <v>0.1310848741367788</v>
      </c>
      <c r="P16" s="14">
        <f>IFERROR(IF(INDEX('Spending by Category'!$P$5:$P$505,MATCH(1,INDEX(('Spending by Category'!$B$5:$B$505=$B16)*('Spending by Category'!$D$5:$D$505=$D16),0),0))="","",INDEX('Spending by Category'!$P$5:$P$505,MATCH(1,INDEX(('Spending by Category'!$B$5:$B$505=$B16)*('Spending by Category'!$D$5:$D$505=$D16),0),0))),"")</f>
        <v>0.1228870572510581</v>
      </c>
      <c r="Q16" s="14" t="str">
        <f>IFERROR(IF(INDEX('Spending by Category'!$Q$5:$Q$505,MATCH(1,INDEX(('Spending by Category'!$B$5:$B$505=$B16)*('Spending by Category'!$D$5:$D$505=$D16),0),0))="","",INDEX('Spending by Category'!$Q$5:$Q$505,MATCH(1,INDEX(('Spending by Category'!$B$5:$B$505=$B16)*('Spending by Category'!$D$5:$D$505=$D16),0),0))),"")</f>
        <v/>
      </c>
      <c r="R16" s="14">
        <f>IFERROR(IF(INDEX('Spending by Category'!$R$5:$R$505,MATCH(1,INDEX(('Spending by Category'!$B$5:$B$505=$B16)*('Spending by Category'!$D$5:$D$505=$D16),0),0))="","",INDEX('Spending by Category'!$R$5:$R$505,MATCH(1,INDEX(('Spending by Category'!$B$5:$B$505=$B16)*('Spending by Category'!$D$5:$D$505=$D16),0),0))),"")</f>
        <v>1</v>
      </c>
      <c r="S16" s="14" t="str">
        <f>IFERROR(IF(INDEX('Spending by Category'!$Z$5:$Z$505,MATCH(1,INDEX(('Spending by Category'!$B$5:$B$505=$B16)*('Spending by Category'!$D$5:$D$505=$D16),0),0))="","",INDEX('Spending by Category'!$Z$5:$Z$505,MATCH(1,INDEX(('Spending by Category'!$B$5:$B$505=$B16)*('Spending by Category'!$D$5:$D$505=$D16),0),0))),"")</f>
        <v/>
      </c>
    </row>
    <row r="17" spans="1:19" x14ac:dyDescent="0.2">
      <c r="A17" s="6" t="s">
        <v>74</v>
      </c>
      <c r="B17" s="6" t="s">
        <v>75</v>
      </c>
      <c r="C17" s="6" t="s">
        <v>49</v>
      </c>
      <c r="D17" s="15" t="str">
        <f>TEXT(SUMPRODUCT(MAX(('Spending by Category'!$B$5:$B$505=$B17)*('Spending by Category'!$D$5:$D$505+0))),"0")</f>
        <v>2024</v>
      </c>
      <c r="E17" s="15" t="str">
        <f>INDEX('Spending by Category'!$E$5:$E$505,MATCH(1,INDEX(('Spending by Category'!$B$5:$B$505=$B17)*('Spending by Category'!$D$5:$D$505=$D17),0),0))</f>
        <v>Central government (budgetary)</v>
      </c>
      <c r="F17" s="14">
        <f>IFERROR(IF(INDEX('Spending by Category'!$F$5:$F$505,MATCH(1,INDEX(('Spending by Category'!$B$5:$B$505=$B17)*('Spending by Category'!$D$5:$D$505=$D17),0),0))="","",INDEX('Spending by Category'!$F$5:$F$505,MATCH(1,INDEX(('Spending by Category'!$B$5:$B$505=$B17)*('Spending by Category'!$D$5:$D$505=$D17),0),0))),"")</f>
        <v>0.36298872188207609</v>
      </c>
      <c r="G17" s="14">
        <f>IFERROR(IF(INDEX('Spending by Category'!$G$5:$G$505,MATCH(1,INDEX(('Spending by Category'!$B$5:$B$505=$B17)*('Spending by Category'!$D$5:$D$505=$D17),0),0))="","",INDEX('Spending by Category'!$G$5:$G$505,MATCH(1,INDEX(('Spending by Category'!$B$5:$B$505=$B17)*('Spending by Category'!$D$5:$D$505=$D17),0),0))),"")</f>
        <v>8.963989342946295E-2</v>
      </c>
      <c r="H17" s="14">
        <f>IFERROR(IF(INDEX('Spending by Category'!$H$5:$H$505,MATCH(1,INDEX(('Spending by Category'!$B$5:$B$505=$B17)*('Spending by Category'!$D$5:$D$505=$D17),0),0))="","",INDEX('Spending by Category'!$H$5:$H$505,MATCH(1,INDEX(('Spending by Category'!$B$5:$B$505=$B17)*('Spending by Category'!$D$5:$D$505=$D17),0),0))),"")</f>
        <v>8.93906644381086E-2</v>
      </c>
      <c r="I17" s="14">
        <f>IFERROR(IF(INDEX('Spending by Category'!$I$5:$I$505,MATCH(1,INDEX(('Spending by Category'!$B$5:$B$505=$B17)*('Spending by Category'!$D$5:$D$505=$D17),0),0))="","",INDEX('Spending by Category'!$I$5:$I$505,MATCH(1,INDEX(('Spending by Category'!$B$5:$B$505=$B17)*('Spending by Category'!$D$5:$D$505=$D17),0),0))),"")</f>
        <v>2.7131853723742501E-2</v>
      </c>
      <c r="J17" s="14">
        <f>IFERROR(IF(INDEX('Spending by Category'!$J$5:$J$505,MATCH(1,INDEX(('Spending by Category'!$B$5:$B$505=$B17)*('Spending by Category'!$D$5:$D$505=$D17),0),0))="","",INDEX('Spending by Category'!$J$5:$J$505,MATCH(1,INDEX(('Spending by Category'!$B$5:$B$505=$B17)*('Spending by Category'!$D$5:$D$505=$D17),0),0))),"")</f>
        <v>0.14105501248850291</v>
      </c>
      <c r="K17" s="14">
        <f>IFERROR(IF(INDEX('Spending by Category'!$K$5:$K$505,MATCH(1,INDEX(('Spending by Category'!$B$5:$B$505=$B17)*('Spending by Category'!$D$5:$D$505=$D17),0),0))="","",INDEX('Spending by Category'!$K$5:$K$505,MATCH(1,INDEX(('Spending by Category'!$B$5:$B$505=$B17)*('Spending by Category'!$D$5:$D$505=$D17),0),0))),"")</f>
        <v>8.2932899760127399E-3</v>
      </c>
      <c r="L17" s="14">
        <f>IFERROR(IF(INDEX('Spending by Category'!$L$5:$L$505,MATCH(1,INDEX(('Spending by Category'!$B$5:$B$505=$B17)*('Spending by Category'!$D$5:$D$505=$D17),0),0))="","",INDEX('Spending by Category'!$L$5:$L$505,MATCH(1,INDEX(('Spending by Category'!$B$5:$B$505=$B17)*('Spending by Category'!$D$5:$D$505=$D17),0),0))),"")</f>
        <v>2.540949863715319E-2</v>
      </c>
      <c r="M17" s="16">
        <f>IFERROR(IF(INDEX('Spending by Category'!$M$5:$M$505,MATCH(1,INDEX(('Spending by Category'!$B$5:$B$505=$B17)*('Spending by Category'!$D$5:$D$505=$D17),0),0))="","",INDEX('Spending by Category'!$M$5:$M$505,MATCH(1,INDEX(('Spending by Category'!$B$5:$B$505=$B17)*('Spending by Category'!$D$5:$D$505=$D17),0),0))),"")</f>
        <v>5.2984492326570314E-2</v>
      </c>
      <c r="N17" s="14">
        <f>IFERROR(IF(INDEX('Spending by Category'!$N$5:$N$505,MATCH(1,INDEX(('Spending by Category'!$B$5:$B$505=$B17)*('Spending by Category'!$D$5:$D$505=$D17),0),0))="","",INDEX('Spending by Category'!$N$5:$N$505,MATCH(1,INDEX(('Spending by Category'!$B$5:$B$505=$B17)*('Spending by Category'!$D$5:$D$505=$D17),0),0))),"")</f>
        <v>5.4837734097818967E-3</v>
      </c>
      <c r="O17" s="14">
        <f>IFERROR(IF(INDEX('Spending by Category'!$O$5:$O$505,MATCH(1,INDEX(('Spending by Category'!$B$5:$B$505=$B17)*('Spending by Category'!$D$5:$D$505=$D17),0),0))="","",INDEX('Spending by Category'!$O$5:$O$505,MATCH(1,INDEX(('Spending by Category'!$B$5:$B$505=$B17)*('Spending by Category'!$D$5:$D$505=$D17),0),0))),"")</f>
        <v>0.1351410405872476</v>
      </c>
      <c r="P17" s="14">
        <f>IFERROR(IF(INDEX('Spending by Category'!$P$5:$P$505,MATCH(1,INDEX(('Spending by Category'!$B$5:$B$505=$B17)*('Spending by Category'!$D$5:$D$505=$D17),0),0))="","",INDEX('Spending by Category'!$P$5:$P$505,MATCH(1,INDEX(('Spending by Category'!$B$5:$B$505=$B17)*('Spending by Category'!$D$5:$D$505=$D17),0),0))),"")</f>
        <v>6.2481759101341322E-2</v>
      </c>
      <c r="Q17" s="14" t="str">
        <f>IFERROR(IF(INDEX('Spending by Category'!$Q$5:$Q$505,MATCH(1,INDEX(('Spending by Category'!$B$5:$B$505=$B17)*('Spending by Category'!$D$5:$D$505=$D17),0),0))="","",INDEX('Spending by Category'!$Q$5:$Q$505,MATCH(1,INDEX(('Spending by Category'!$B$5:$B$505=$B17)*('Spending by Category'!$D$5:$D$505=$D17),0),0))),"")</f>
        <v/>
      </c>
      <c r="R17" s="14">
        <f>IFERROR(IF(INDEX('Spending by Category'!$R$5:$R$505,MATCH(1,INDEX(('Spending by Category'!$B$5:$B$505=$B17)*('Spending by Category'!$D$5:$D$505=$D17),0),0))="","",INDEX('Spending by Category'!$R$5:$R$505,MATCH(1,INDEX(('Spending by Category'!$B$5:$B$505=$B17)*('Spending by Category'!$D$5:$D$505=$D17),0),0))),"")</f>
        <v>1</v>
      </c>
      <c r="S17" s="14" t="str">
        <f>IFERROR(IF(INDEX('Spending by Category'!$Z$5:$Z$505,MATCH(1,INDEX(('Spending by Category'!$B$5:$B$505=$B17)*('Spending by Category'!$D$5:$D$505=$D17),0),0))="","",INDEX('Spending by Category'!$Z$5:$Z$505,MATCH(1,INDEX(('Spending by Category'!$B$5:$B$505=$B17)*('Spending by Category'!$D$5:$D$505=$D17),0),0))),"")</f>
        <v/>
      </c>
    </row>
    <row r="18" spans="1:19" x14ac:dyDescent="0.2">
      <c r="A18" s="6" t="s">
        <v>76</v>
      </c>
      <c r="B18" s="6" t="s">
        <v>77</v>
      </c>
      <c r="C18" s="6"/>
      <c r="D18" s="15" t="str">
        <f>TEXT(SUMPRODUCT(MAX(('Spending by Category'!$B$5:$B$505=$B18)*('Spending by Category'!$D$5:$D$505+0))),"0")</f>
        <v>2006</v>
      </c>
      <c r="E18" s="15" t="str">
        <f>INDEX('Spending by Category'!$E$5:$E$505,MATCH(1,INDEX(('Spending by Category'!$B$5:$B$505=$B18)*('Spending by Category'!$D$5:$D$505=$D18),0),0))</f>
        <v>Central government (budgetary)</v>
      </c>
      <c r="F18" s="14">
        <f>IFERROR(IF(INDEX('Spending by Category'!$F$5:$F$505,MATCH(1,INDEX(('Spending by Category'!$B$5:$B$505=$B18)*('Spending by Category'!$D$5:$D$505=$D18),0),0))="","",INDEX('Spending by Category'!$F$5:$F$505,MATCH(1,INDEX(('Spending by Category'!$B$5:$B$505=$B18)*('Spending by Category'!$D$5:$D$505=$D18),0),0))),"")</f>
        <v>0.15727611719791859</v>
      </c>
      <c r="G18" s="14">
        <f>IFERROR(IF(INDEX('Spending by Category'!$G$5:$G$505,MATCH(1,INDEX(('Spending by Category'!$B$5:$B$505=$B18)*('Spending by Category'!$D$5:$D$505=$D18),0),0))="","",INDEX('Spending by Category'!$G$5:$G$505,MATCH(1,INDEX(('Spending by Category'!$B$5:$B$505=$B18)*('Spending by Category'!$D$5:$D$505=$D18),0),0))),"")</f>
        <v>9.2488545616191201E-2</v>
      </c>
      <c r="H18" s="14">
        <f>IFERROR(IF(INDEX('Spending by Category'!$H$5:$H$505,MATCH(1,INDEX(('Spending by Category'!$B$5:$B$505=$B18)*('Spending by Category'!$D$5:$D$505=$D18),0),0))="","",INDEX('Spending by Category'!$H$5:$H$505,MATCH(1,INDEX(('Spending by Category'!$B$5:$B$505=$B18)*('Spending by Category'!$D$5:$D$505=$D18),0),0))),"")</f>
        <v>5.4009884161807388E-2</v>
      </c>
      <c r="I18" s="14">
        <f>IFERROR(IF(INDEX('Spending by Category'!$I$5:$I$505,MATCH(1,INDEX(('Spending by Category'!$B$5:$B$505=$B18)*('Spending by Category'!$D$5:$D$505=$D18),0),0))="","",INDEX('Spending by Category'!$I$5:$I$505,MATCH(1,INDEX(('Spending by Category'!$B$5:$B$505=$B18)*('Spending by Category'!$D$5:$D$505=$D18),0),0))),"")</f>
        <v>9.3821091441570997E-2</v>
      </c>
      <c r="J18" s="14">
        <f>IFERROR(IF(INDEX('Spending by Category'!$J$5:$J$505,MATCH(1,INDEX(('Spending by Category'!$B$5:$B$505=$B18)*('Spending by Category'!$D$5:$D$505=$D18),0),0))="","",INDEX('Spending by Category'!$J$5:$J$505,MATCH(1,INDEX(('Spending by Category'!$B$5:$B$505=$B18)*('Spending by Category'!$D$5:$D$505=$D18),0),0))),"")</f>
        <v>0.14224825458253801</v>
      </c>
      <c r="K18" s="14">
        <f>IFERROR(IF(INDEX('Spending by Category'!$K$5:$K$505,MATCH(1,INDEX(('Spending by Category'!$B$5:$B$505=$B18)*('Spending by Category'!$D$5:$D$505=$D18),0),0))="","",INDEX('Spending by Category'!$K$5:$K$505,MATCH(1,INDEX(('Spending by Category'!$B$5:$B$505=$B18)*('Spending by Category'!$D$5:$D$505=$D18),0),0))),"")</f>
        <v>2.1899432575896239E-3</v>
      </c>
      <c r="L18" s="14">
        <f>IFERROR(IF(INDEX('Spending by Category'!$L$5:$L$505,MATCH(1,INDEX(('Spending by Category'!$B$5:$B$505=$B18)*('Spending by Category'!$D$5:$D$505=$D18),0),0))="","",INDEX('Spending by Category'!$L$5:$L$505,MATCH(1,INDEX(('Spending by Category'!$B$5:$B$505=$B18)*('Spending by Category'!$D$5:$D$505=$D18),0),0))),"")</f>
        <v>9.4108725779881275E-2</v>
      </c>
      <c r="M18" s="16">
        <f>IFERROR(IF(INDEX('Spending by Category'!$M$5:$M$505,MATCH(1,INDEX(('Spending by Category'!$B$5:$B$505=$B18)*('Spending by Category'!$D$5:$D$505=$D18),0),0))="","",INDEX('Spending by Category'!$M$5:$M$505,MATCH(1,INDEX(('Spending by Category'!$B$5:$B$505=$B18)*('Spending by Category'!$D$5:$D$505=$D18),0),0))),"")</f>
        <v>9.3474622806788157E-2</v>
      </c>
      <c r="N18" s="14">
        <f>IFERROR(IF(INDEX('Spending by Category'!$N$5:$N$505,MATCH(1,INDEX(('Spending by Category'!$B$5:$B$505=$B18)*('Spending by Category'!$D$5:$D$505=$D18),0),0))="","",INDEX('Spending by Category'!$N$5:$N$505,MATCH(1,INDEX(('Spending by Category'!$B$5:$B$505=$B18)*('Spending by Category'!$D$5:$D$505=$D18),0),0))),"")</f>
        <v>6.8901498313416829E-3</v>
      </c>
      <c r="O18" s="14">
        <f>IFERROR(IF(INDEX('Spending by Category'!$O$5:$O$505,MATCH(1,INDEX(('Spending by Category'!$B$5:$B$505=$B18)*('Spending by Category'!$D$5:$D$505=$D18),0),0))="","",INDEX('Spending by Category'!$O$5:$O$505,MATCH(1,INDEX(('Spending by Category'!$B$5:$B$505=$B18)*('Spending by Category'!$D$5:$D$505=$D18),0),0))),"")</f>
        <v>0.2238056637816071</v>
      </c>
      <c r="P18" s="14">
        <f>IFERROR(IF(INDEX('Spending by Category'!$P$5:$P$505,MATCH(1,INDEX(('Spending by Category'!$B$5:$B$505=$B18)*('Spending by Category'!$D$5:$D$505=$D18),0),0))="","",INDEX('Spending by Category'!$P$5:$P$505,MATCH(1,INDEX(('Spending by Category'!$B$5:$B$505=$B18)*('Spending by Category'!$D$5:$D$505=$D18),0),0))),"")</f>
        <v>3.9687001542765998E-2</v>
      </c>
      <c r="Q18" s="14" t="str">
        <f>IFERROR(IF(INDEX('Spending by Category'!$Q$5:$Q$505,MATCH(1,INDEX(('Spending by Category'!$B$5:$B$505=$B18)*('Spending by Category'!$D$5:$D$505=$D18),0),0))="","",INDEX('Spending by Category'!$Q$5:$Q$505,MATCH(1,INDEX(('Spending by Category'!$B$5:$B$505=$B18)*('Spending by Category'!$D$5:$D$505=$D18),0),0))),"")</f>
        <v/>
      </c>
      <c r="R18" s="14">
        <f>IFERROR(IF(INDEX('Spending by Category'!$R$5:$R$505,MATCH(1,INDEX(('Spending by Category'!$B$5:$B$505=$B18)*('Spending by Category'!$D$5:$D$505=$D18),0),0))="","",INDEX('Spending by Category'!$R$5:$R$505,MATCH(1,INDEX(('Spending by Category'!$B$5:$B$505=$B18)*('Spending by Category'!$D$5:$D$505=$D18),0),0))),"")</f>
        <v>1</v>
      </c>
      <c r="S18" s="14">
        <f>IFERROR(IF(INDEX('Spending by Category'!$Z$5:$Z$505,MATCH(1,INDEX(('Spending by Category'!$B$5:$B$505=$B18)*('Spending by Category'!$D$5:$D$505=$D18),0),0))="","",INDEX('Spending by Category'!$Z$5:$Z$505,MATCH(1,INDEX(('Spending by Category'!$B$5:$B$505=$B18)*('Spending by Category'!$D$5:$D$505=$D18),0),0))),"")</f>
        <v>9.9688577699999975E-2</v>
      </c>
    </row>
    <row r="19" spans="1:19" x14ac:dyDescent="0.2">
      <c r="A19" s="6" t="s">
        <v>82</v>
      </c>
      <c r="B19" s="6" t="s">
        <v>83</v>
      </c>
      <c r="C19" s="6"/>
      <c r="D19" s="15" t="str">
        <f>TEXT(SUMPRODUCT(MAX(('Spending by Category'!$B$5:$B$505=$B19)*('Spending by Category'!$D$5:$D$505+0))),"0")</f>
        <v>2024</v>
      </c>
      <c r="E19" s="15" t="str">
        <f>INDEX('Spending by Category'!$E$5:$E$505,MATCH(1,INDEX(('Spending by Category'!$B$5:$B$505=$B19)*('Spending by Category'!$D$5:$D$505=$D19),0),0))</f>
        <v>General government</v>
      </c>
      <c r="F19" s="14">
        <f>IFERROR(IF(INDEX('Spending by Category'!$F$5:$F$505,MATCH(1,INDEX(('Spending by Category'!$B$5:$B$505=$B19)*('Spending by Category'!$D$5:$D$505=$D19),0),0))="","",INDEX('Spending by Category'!$F$5:$F$505,MATCH(1,INDEX(('Spending by Category'!$B$5:$B$505=$B19)*('Spending by Category'!$D$5:$D$505=$D19),0),0))),"")</f>
        <v>0.1083854447622245</v>
      </c>
      <c r="G19" s="14">
        <f>IFERROR(IF(INDEX('Spending by Category'!$G$5:$G$505,MATCH(1,INDEX(('Spending by Category'!$B$5:$B$505=$B19)*('Spending by Category'!$D$5:$D$505=$D19),0),0))="","",INDEX('Spending by Category'!$G$5:$G$505,MATCH(1,INDEX(('Spending by Category'!$B$5:$B$505=$B19)*('Spending by Category'!$D$5:$D$505=$D19),0),0))),"")</f>
        <v>8.992838884653713E-2</v>
      </c>
      <c r="H19" s="14">
        <f>IFERROR(IF(INDEX('Spending by Category'!$H$5:$H$505,MATCH(1,INDEX(('Spending by Category'!$B$5:$B$505=$B19)*('Spending by Category'!$D$5:$D$505=$D19),0),0))="","",INDEX('Spending by Category'!$H$5:$H$505,MATCH(1,INDEX(('Spending by Category'!$B$5:$B$505=$B19)*('Spending by Category'!$D$5:$D$505=$D19),0),0))),"")</f>
        <v>1.5747095050536349E-2</v>
      </c>
      <c r="I19" s="14">
        <f>IFERROR(IF(INDEX('Spending by Category'!$I$5:$I$505,MATCH(1,INDEX(('Spending by Category'!$B$5:$B$505=$B19)*('Spending by Category'!$D$5:$D$505=$D19),0),0))="","",INDEX('Spending by Category'!$I$5:$I$505,MATCH(1,INDEX(('Spending by Category'!$B$5:$B$505=$B19)*('Spending by Category'!$D$5:$D$505=$D19),0),0))),"")</f>
        <v>0.1156004998255569</v>
      </c>
      <c r="J19" s="14">
        <f>IFERROR(IF(INDEX('Spending by Category'!$J$5:$J$505,MATCH(1,INDEX(('Spending by Category'!$B$5:$B$505=$B19)*('Spending by Category'!$D$5:$D$505=$D19),0),0))="","",INDEX('Spending by Category'!$J$5:$J$505,MATCH(1,INDEX(('Spending by Category'!$B$5:$B$505=$B19)*('Spending by Category'!$D$5:$D$505=$D19),0),0))),"")</f>
        <v>7.6218233355827072E-2</v>
      </c>
      <c r="K19" s="14">
        <f>IFERROR(IF(INDEX('Spending by Category'!$K$5:$K$505,MATCH(1,INDEX(('Spending by Category'!$B$5:$B$505=$B19)*('Spending by Category'!$D$5:$D$505=$D19),0),0))="","",INDEX('Spending by Category'!$K$5:$K$505,MATCH(1,INDEX(('Spending by Category'!$B$5:$B$505=$B19)*('Spending by Category'!$D$5:$D$505=$D19),0),0))),"")</f>
        <v>1.9749456983176612E-2</v>
      </c>
      <c r="L19" s="14">
        <f>IFERROR(IF(INDEX('Spending by Category'!$L$5:$L$505,MATCH(1,INDEX(('Spending by Category'!$B$5:$B$505=$B19)*('Spending by Category'!$D$5:$D$505=$D19),0),0))="","",INDEX('Spending by Category'!$L$5:$L$505,MATCH(1,INDEX(('Spending by Category'!$B$5:$B$505=$B19)*('Spending by Category'!$D$5:$D$505=$D19),0),0))),"")</f>
        <v>3.4765827482178518E-2</v>
      </c>
      <c r="M19" s="16">
        <f>IFERROR(IF(INDEX('Spending by Category'!$M$5:$M$505,MATCH(1,INDEX(('Spending by Category'!$B$5:$B$505=$B19)*('Spending by Category'!$D$5:$D$505=$D19),0),0))="","",INDEX('Spending by Category'!$M$5:$M$505,MATCH(1,INDEX(('Spending by Category'!$B$5:$B$505=$B19)*('Spending by Category'!$D$5:$D$505=$D19),0),0))),"")</f>
        <v>0.15536954542758491</v>
      </c>
      <c r="N19" s="14">
        <f>IFERROR(IF(INDEX('Spending by Category'!$N$5:$N$505,MATCH(1,INDEX(('Spending by Category'!$B$5:$B$505=$B19)*('Spending by Category'!$D$5:$D$505=$D19),0),0))="","",INDEX('Spending by Category'!$N$5:$N$505,MATCH(1,INDEX(('Spending by Category'!$B$5:$B$505=$B19)*('Spending by Category'!$D$5:$D$505=$D19),0),0))),"")</f>
        <v>2.1894430153754529E-2</v>
      </c>
      <c r="O19" s="14">
        <f>IFERROR(IF(INDEX('Spending by Category'!$O$5:$O$505,MATCH(1,INDEX(('Spending by Category'!$B$5:$B$505=$B19)*('Spending by Category'!$D$5:$D$505=$D19),0),0))="","",INDEX('Spending by Category'!$O$5:$O$505,MATCH(1,INDEX(('Spending by Category'!$B$5:$B$505=$B19)*('Spending by Category'!$D$5:$D$505=$D19),0),0))),"")</f>
        <v>0.1931764197121926</v>
      </c>
      <c r="P19" s="14">
        <f>IFERROR(IF(INDEX('Spending by Category'!$P$5:$P$505,MATCH(1,INDEX(('Spending by Category'!$B$5:$B$505=$B19)*('Spending by Category'!$D$5:$D$505=$D19),0),0))="","",INDEX('Spending by Category'!$P$5:$P$505,MATCH(1,INDEX(('Spending by Category'!$B$5:$B$505=$B19)*('Spending by Category'!$D$5:$D$505=$D19),0),0))),"")</f>
        <v>0.1691646584004308</v>
      </c>
      <c r="Q19" s="14" t="str">
        <f>IFERROR(IF(INDEX('Spending by Category'!$Q$5:$Q$505,MATCH(1,INDEX(('Spending by Category'!$B$5:$B$505=$B19)*('Spending by Category'!$D$5:$D$505=$D19),0),0))="","",INDEX('Spending by Category'!$Q$5:$Q$505,MATCH(1,INDEX(('Spending by Category'!$B$5:$B$505=$B19)*('Spending by Category'!$D$5:$D$505=$D19),0),0))),"")</f>
        <v/>
      </c>
      <c r="R19" s="14">
        <f>IFERROR(IF(INDEX('Spending by Category'!$R$5:$R$505,MATCH(1,INDEX(('Spending by Category'!$B$5:$B$505=$B19)*('Spending by Category'!$D$5:$D$505=$D19),0),0))="","",INDEX('Spending by Category'!$R$5:$R$505,MATCH(1,INDEX(('Spending by Category'!$B$5:$B$505=$B19)*('Spending by Category'!$D$5:$D$505=$D19),0),0))),"")</f>
        <v>0.99999999999999989</v>
      </c>
      <c r="S19" s="14" t="str">
        <f>IFERROR(IF(INDEX('Spending by Category'!$Z$5:$Z$505,MATCH(1,INDEX(('Spending by Category'!$B$5:$B$505=$B19)*('Spending by Category'!$D$5:$D$505=$D19),0),0))="","",INDEX('Spending by Category'!$Z$5:$Z$505,MATCH(1,INDEX(('Spending by Category'!$B$5:$B$505=$B19)*('Spending by Category'!$D$5:$D$505=$D19),0),0))),"")</f>
        <v/>
      </c>
    </row>
    <row r="20" spans="1:19" x14ac:dyDescent="0.2">
      <c r="A20" s="6" t="s">
        <v>84</v>
      </c>
      <c r="B20" s="6" t="s">
        <v>85</v>
      </c>
      <c r="C20" s="6"/>
      <c r="D20" s="15" t="str">
        <f>TEXT(SUMPRODUCT(MAX(('Spending by Category'!$B$5:$B$505=$B20)*('Spending by Category'!$D$5:$D$505+0))),"0")</f>
        <v>2023</v>
      </c>
      <c r="E20" s="15" t="str">
        <f>INDEX('Spending by Category'!$E$5:$E$505,MATCH(1,INDEX(('Spending by Category'!$B$5:$B$505=$B20)*('Spending by Category'!$D$5:$D$505=$D20),0),0))</f>
        <v>Central government (budgetary)</v>
      </c>
      <c r="F20" s="14">
        <f>IFERROR(IF(INDEX('Spending by Category'!$F$5:$F$505,MATCH(1,INDEX(('Spending by Category'!$B$5:$B$505=$B20)*('Spending by Category'!$D$5:$D$505=$D20),0),0))="","",INDEX('Spending by Category'!$F$5:$F$505,MATCH(1,INDEX(('Spending by Category'!$B$5:$B$505=$B20)*('Spending by Category'!$D$5:$D$505=$D20),0),0))),"")</f>
        <v>0.16593527062305269</v>
      </c>
      <c r="G20" s="14">
        <f>IFERROR(IF(INDEX('Spending by Category'!$G$5:$G$505,MATCH(1,INDEX(('Spending by Category'!$B$5:$B$505=$B20)*('Spending by Category'!$D$5:$D$505=$D20),0),0))="","",INDEX('Spending by Category'!$G$5:$G$505,MATCH(1,INDEX(('Spending by Category'!$B$5:$B$505=$B20)*('Spending by Category'!$D$5:$D$505=$D20),0),0))),"")</f>
        <v>3.3801004480381022E-2</v>
      </c>
      <c r="H20" s="14">
        <f>IFERROR(IF(INDEX('Spending by Category'!$H$5:$H$505,MATCH(1,INDEX(('Spending by Category'!$B$5:$B$505=$B20)*('Spending by Category'!$D$5:$D$505=$D20),0),0))="","",INDEX('Spending by Category'!$H$5:$H$505,MATCH(1,INDEX(('Spending by Category'!$B$5:$B$505=$B20)*('Spending by Category'!$D$5:$D$505=$D20),0),0))),"")</f>
        <v>0.15150897718065151</v>
      </c>
      <c r="I20" s="14">
        <f>IFERROR(IF(INDEX('Spending by Category'!$I$5:$I$505,MATCH(1,INDEX(('Spending by Category'!$B$5:$B$505=$B20)*('Spending by Category'!$D$5:$D$505=$D20),0),0))="","",INDEX('Spending by Category'!$I$5:$I$505,MATCH(1,INDEX(('Spending by Category'!$B$5:$B$505=$B20)*('Spending by Category'!$D$5:$D$505=$D20),0),0))),"")</f>
        <v>3.6676532200544773E-2</v>
      </c>
      <c r="J20" s="14">
        <f>IFERROR(IF(INDEX('Spending by Category'!$J$5:$J$505,MATCH(1,INDEX(('Spending by Category'!$B$5:$B$505=$B20)*('Spending by Category'!$D$5:$D$505=$D20),0),0))="","",INDEX('Spending by Category'!$J$5:$J$505,MATCH(1,INDEX(('Spending by Category'!$B$5:$B$505=$B20)*('Spending by Category'!$D$5:$D$505=$D20),0),0))),"")</f>
        <v>0.25321161532678982</v>
      </c>
      <c r="K20" s="14">
        <f>IFERROR(IF(INDEX('Spending by Category'!$K$5:$K$505,MATCH(1,INDEX(('Spending by Category'!$B$5:$B$505=$B20)*('Spending by Category'!$D$5:$D$505=$D20),0),0))="","",INDEX('Spending by Category'!$K$5:$K$505,MATCH(1,INDEX(('Spending by Category'!$B$5:$B$505=$B20)*('Spending by Category'!$D$5:$D$505=$D20),0),0))),"")</f>
        <v>1.344912510306232E-2</v>
      </c>
      <c r="L20" s="14">
        <f>IFERROR(IF(INDEX('Spending by Category'!$L$5:$L$505,MATCH(1,INDEX(('Spending by Category'!$B$5:$B$505=$B20)*('Spending by Category'!$D$5:$D$505=$D20),0),0))="","",INDEX('Spending by Category'!$L$5:$L$505,MATCH(1,INDEX(('Spending by Category'!$B$5:$B$505=$B20)*('Spending by Category'!$D$5:$D$505=$D20),0),0))),"")</f>
        <v>9.4141822042704285E-2</v>
      </c>
      <c r="M20" s="16">
        <f>IFERROR(IF(INDEX('Spending by Category'!$M$5:$M$505,MATCH(1,INDEX(('Spending by Category'!$B$5:$B$505=$B20)*('Spending by Category'!$D$5:$D$505=$D20),0),0))="","",INDEX('Spending by Category'!$M$5:$M$505,MATCH(1,INDEX(('Spending by Category'!$B$5:$B$505=$B20)*('Spending by Category'!$D$5:$D$505=$D20),0),0))),"")</f>
        <v>4.2631499783904861E-2</v>
      </c>
      <c r="N20" s="14">
        <f>IFERROR(IF(INDEX('Spending by Category'!$N$5:$N$505,MATCH(1,INDEX(('Spending by Category'!$B$5:$B$505=$B20)*('Spending by Category'!$D$5:$D$505=$D20),0),0))="","",INDEX('Spending by Category'!$N$5:$N$505,MATCH(1,INDEX(('Spending by Category'!$B$5:$B$505=$B20)*('Spending by Category'!$D$5:$D$505=$D20),0),0))),"")</f>
        <v>3.0168735959285362E-2</v>
      </c>
      <c r="O20" s="14">
        <f>IFERROR(IF(INDEX('Spending by Category'!$O$5:$O$505,MATCH(1,INDEX(('Spending by Category'!$B$5:$B$505=$B20)*('Spending by Category'!$D$5:$D$505=$D20),0),0))="","",INDEX('Spending by Category'!$O$5:$O$505,MATCH(1,INDEX(('Spending by Category'!$B$5:$B$505=$B20)*('Spending by Category'!$D$5:$D$505=$D20),0),0))),"")</f>
        <v>0.111136448776637</v>
      </c>
      <c r="P20" s="14">
        <f>IFERROR(IF(INDEX('Spending by Category'!$P$5:$P$505,MATCH(1,INDEX(('Spending by Category'!$B$5:$B$505=$B20)*('Spending by Category'!$D$5:$D$505=$D20),0),0))="","",INDEX('Spending by Category'!$P$5:$P$505,MATCH(1,INDEX(('Spending by Category'!$B$5:$B$505=$B20)*('Spending by Category'!$D$5:$D$505=$D20),0),0))),"")</f>
        <v>6.7338968522986403E-2</v>
      </c>
      <c r="Q20" s="14" t="str">
        <f>IFERROR(IF(INDEX('Spending by Category'!$Q$5:$Q$505,MATCH(1,INDEX(('Spending by Category'!$B$5:$B$505=$B20)*('Spending by Category'!$D$5:$D$505=$D20),0),0))="","",INDEX('Spending by Category'!$Q$5:$Q$505,MATCH(1,INDEX(('Spending by Category'!$B$5:$B$505=$B20)*('Spending by Category'!$D$5:$D$505=$D20),0),0))),"")</f>
        <v/>
      </c>
      <c r="R20" s="14">
        <f>IFERROR(IF(INDEX('Spending by Category'!$R$5:$R$505,MATCH(1,INDEX(('Spending by Category'!$B$5:$B$505=$B20)*('Spending by Category'!$D$5:$D$505=$D20),0),0))="","",INDEX('Spending by Category'!$R$5:$R$505,MATCH(1,INDEX(('Spending by Category'!$B$5:$B$505=$B20)*('Spending by Category'!$D$5:$D$505=$D20),0),0))),"")</f>
        <v>1</v>
      </c>
      <c r="S20" s="14">
        <f>IFERROR(IF(INDEX('Spending by Category'!$Z$5:$Z$505,MATCH(1,INDEX(('Spending by Category'!$B$5:$B$505=$B20)*('Spending by Category'!$D$5:$D$505=$D20),0),0))="","",INDEX('Spending by Category'!$Z$5:$Z$505,MATCH(1,INDEX(('Spending by Category'!$B$5:$B$505=$B20)*('Spending by Category'!$D$5:$D$505=$D20),0),0))),"")</f>
        <v>5.1174025499999998E-2</v>
      </c>
    </row>
    <row r="21" spans="1:19" x14ac:dyDescent="0.2">
      <c r="A21" s="6" t="s">
        <v>90</v>
      </c>
      <c r="B21" s="6" t="s">
        <v>91</v>
      </c>
      <c r="C21" s="6"/>
      <c r="D21" s="15" t="str">
        <f>TEXT(SUMPRODUCT(MAX(('Spending by Category'!$B$5:$B$505=$B21)*('Spending by Category'!$D$5:$D$505+0))),"0")</f>
        <v>2020</v>
      </c>
      <c r="E21" s="15" t="str">
        <f>INDEX('Spending by Category'!$E$5:$E$505,MATCH(1,INDEX(('Spending by Category'!$B$5:$B$505=$B21)*('Spending by Category'!$D$5:$D$505=$D21),0),0))</f>
        <v>Central government (budgetary)</v>
      </c>
      <c r="F21" s="14">
        <f>IFERROR(IF(INDEX('Spending by Category'!$F$5:$F$505,MATCH(1,INDEX(('Spending by Category'!$B$5:$B$505=$B21)*('Spending by Category'!$D$5:$D$505=$D21),0),0))="","",INDEX('Spending by Category'!$F$5:$F$505,MATCH(1,INDEX(('Spending by Category'!$B$5:$B$505=$B21)*('Spending by Category'!$D$5:$D$505=$D21),0),0))),"")</f>
        <v>0.11923894814835399</v>
      </c>
      <c r="G21" s="14">
        <f>IFERROR(IF(INDEX('Spending by Category'!$G$5:$G$505,MATCH(1,INDEX(('Spending by Category'!$B$5:$B$505=$B21)*('Spending by Category'!$D$5:$D$505=$D21),0),0))="","",INDEX('Spending by Category'!$G$5:$G$505,MATCH(1,INDEX(('Spending by Category'!$B$5:$B$505=$B21)*('Spending by Category'!$D$5:$D$505=$D21),0),0))),"")</f>
        <v>0.13759640797105699</v>
      </c>
      <c r="H21" s="14">
        <f>IFERROR(IF(INDEX('Spending by Category'!$H$5:$H$505,MATCH(1,INDEX(('Spending by Category'!$B$5:$B$505=$B21)*('Spending by Category'!$D$5:$D$505=$D21),0),0))="","",INDEX('Spending by Category'!$H$5:$H$505,MATCH(1,INDEX(('Spending by Category'!$B$5:$B$505=$B21)*('Spending by Category'!$D$5:$D$505=$D21),0),0))),"")</f>
        <v>6.1856457255069303E-2</v>
      </c>
      <c r="I21" s="14">
        <f>IFERROR(IF(INDEX('Spending by Category'!$I$5:$I$505,MATCH(1,INDEX(('Spending by Category'!$B$5:$B$505=$B21)*('Spending by Category'!$D$5:$D$505=$D21),0),0))="","",INDEX('Spending by Category'!$I$5:$I$505,MATCH(1,INDEX(('Spending by Category'!$B$5:$B$505=$B21)*('Spending by Category'!$D$5:$D$505=$D21),0),0))),"")</f>
        <v>0.11318961727092899</v>
      </c>
      <c r="J21" s="14">
        <f>IFERROR(IF(INDEX('Spending by Category'!$J$5:$J$505,MATCH(1,INDEX(('Spending by Category'!$B$5:$B$505=$B21)*('Spending by Category'!$D$5:$D$505=$D21),0),0))="","",INDEX('Spending by Category'!$J$5:$J$505,MATCH(1,INDEX(('Spending by Category'!$B$5:$B$505=$B21)*('Spending by Category'!$D$5:$D$505=$D21),0),0))),"")</f>
        <v>0.13219374450013399</v>
      </c>
      <c r="K21" s="14">
        <f>IFERROR(IF(INDEX('Spending by Category'!$K$5:$K$505,MATCH(1,INDEX(('Spending by Category'!$B$5:$B$505=$B21)*('Spending by Category'!$D$5:$D$505=$D21),0),0))="","",INDEX('Spending by Category'!$K$5:$K$505,MATCH(1,INDEX(('Spending by Category'!$B$5:$B$505=$B21)*('Spending by Category'!$D$5:$D$505=$D21),0),0))),"")</f>
        <v>4.4682230839747901E-3</v>
      </c>
      <c r="L21" s="14">
        <f>IFERROR(IF(INDEX('Spending by Category'!$L$5:$L$505,MATCH(1,INDEX(('Spending by Category'!$B$5:$B$505=$B21)*('Spending by Category'!$D$5:$D$505=$D21),0),0))="","",INDEX('Spending by Category'!$L$5:$L$505,MATCH(1,INDEX(('Spending by Category'!$B$5:$B$505=$B21)*('Spending by Category'!$D$5:$D$505=$D21),0),0))),"")</f>
        <v>5.0698001495461907E-2</v>
      </c>
      <c r="M21" s="16">
        <f>IFERROR(IF(INDEX('Spending by Category'!$M$5:$M$505,MATCH(1,INDEX(('Spending by Category'!$B$5:$B$505=$B21)*('Spending by Category'!$D$5:$D$505=$D21),0),0))="","",INDEX('Spending by Category'!$M$5:$M$505,MATCH(1,INDEX(('Spending by Category'!$B$5:$B$505=$B21)*('Spending by Category'!$D$5:$D$505=$D21),0),0))),"")</f>
        <v>0.13698406402682223</v>
      </c>
      <c r="N21" s="14">
        <f>IFERROR(IF(INDEX('Spending by Category'!$N$5:$N$505,MATCH(1,INDEX(('Spending by Category'!$B$5:$B$505=$B21)*('Spending by Category'!$D$5:$D$505=$D21),0),0))="","",INDEX('Spending by Category'!$N$5:$N$505,MATCH(1,INDEX(('Spending by Category'!$B$5:$B$505=$B21)*('Spending by Category'!$D$5:$D$505=$D21),0),0))),"")</f>
        <v>1.7996364462727699E-3</v>
      </c>
      <c r="O21" s="14">
        <f>IFERROR(IF(INDEX('Spending by Category'!$O$5:$O$505,MATCH(1,INDEX(('Spending by Category'!$B$5:$B$505=$B21)*('Spending by Category'!$D$5:$D$505=$D21),0),0))="","",INDEX('Spending by Category'!$O$5:$O$505,MATCH(1,INDEX(('Spending by Category'!$B$5:$B$505=$B21)*('Spending by Category'!$D$5:$D$505=$D21),0),0))),"")</f>
        <v>0.217991284545755</v>
      </c>
      <c r="P21" s="14">
        <f>IFERROR(IF(INDEX('Spending by Category'!$P$5:$P$505,MATCH(1,INDEX(('Spending by Category'!$B$5:$B$505=$B21)*('Spending by Category'!$D$5:$D$505=$D21),0),0))="","",INDEX('Spending by Category'!$P$5:$P$505,MATCH(1,INDEX(('Spending by Category'!$B$5:$B$505=$B21)*('Spending by Category'!$D$5:$D$505=$D21),0),0))),"")</f>
        <v>2.3983615256167601E-2</v>
      </c>
      <c r="Q21" s="14" t="str">
        <f>IFERROR(IF(INDEX('Spending by Category'!$Q$5:$Q$505,MATCH(1,INDEX(('Spending by Category'!$B$5:$B$505=$B21)*('Spending by Category'!$D$5:$D$505=$D21),0),0))="","",INDEX('Spending by Category'!$Q$5:$Q$505,MATCH(1,INDEX(('Spending by Category'!$B$5:$B$505=$B21)*('Spending by Category'!$D$5:$D$505=$D21),0),0))),"")</f>
        <v/>
      </c>
      <c r="R21" s="14">
        <f>IFERROR(IF(INDEX('Spending by Category'!$R$5:$R$505,MATCH(1,INDEX(('Spending by Category'!$B$5:$B$505=$B21)*('Spending by Category'!$D$5:$D$505=$D21),0),0))="","",INDEX('Spending by Category'!$R$5:$R$505,MATCH(1,INDEX(('Spending by Category'!$B$5:$B$505=$B21)*('Spending by Category'!$D$5:$D$505=$D21),0),0))),"")</f>
        <v>0.99999999999999756</v>
      </c>
      <c r="S21" s="14">
        <f>IFERROR(IF(INDEX('Spending by Category'!$Z$5:$Z$505,MATCH(1,INDEX(('Spending by Category'!$B$5:$B$505=$B21)*('Spending by Category'!$D$5:$D$505=$D21),0),0))="","",INDEX('Spending by Category'!$Z$5:$Z$505,MATCH(1,INDEX(('Spending by Category'!$B$5:$B$505=$B21)*('Spending by Category'!$D$5:$D$505=$D21),0),0))),"")</f>
        <v>0.1234406281</v>
      </c>
    </row>
    <row r="22" spans="1:19" x14ac:dyDescent="0.2">
      <c r="A22" s="6" t="s">
        <v>92</v>
      </c>
      <c r="B22" s="6" t="s">
        <v>93</v>
      </c>
      <c r="C22" s="6"/>
      <c r="D22" s="15" t="str">
        <f>TEXT(SUMPRODUCT(MAX(('Spending by Category'!$B$5:$B$505=$B22)*('Spending by Category'!$D$5:$D$505+0))),"0")</f>
        <v>2018</v>
      </c>
      <c r="E22" s="15" t="str">
        <f>INDEX('Spending by Category'!$E$5:$E$505,MATCH(1,INDEX(('Spending by Category'!$B$5:$B$505=$B22)*('Spending by Category'!$D$5:$D$505=$D22),0),0))</f>
        <v>Central government (budgetary)</v>
      </c>
      <c r="F22" s="14" t="str">
        <f>IFERROR(IF(INDEX('Spending by Category'!$F$5:$F$505,MATCH(1,INDEX(('Spending by Category'!$B$5:$B$505=$B22)*('Spending by Category'!$D$5:$D$505=$D22),0),0))="","",INDEX('Spending by Category'!$F$5:$F$505,MATCH(1,INDEX(('Spending by Category'!$B$5:$B$505=$B22)*('Spending by Category'!$D$5:$D$505=$D22),0),0))),"")</f>
        <v/>
      </c>
      <c r="G22" s="14" t="str">
        <f>IFERROR(IF(INDEX('Spending by Category'!$G$5:$G$505,MATCH(1,INDEX(('Spending by Category'!$B$5:$B$505=$B22)*('Spending by Category'!$D$5:$D$505=$D22),0),0))="","",INDEX('Spending by Category'!$G$5:$G$505,MATCH(1,INDEX(('Spending by Category'!$B$5:$B$505=$B22)*('Spending by Category'!$D$5:$D$505=$D22),0),0))),"")</f>
        <v/>
      </c>
      <c r="H22" s="14">
        <f>IFERROR(IF(INDEX('Spending by Category'!$H$5:$H$505,MATCH(1,INDEX(('Spending by Category'!$B$5:$B$505=$B22)*('Spending by Category'!$D$5:$D$505=$D22),0),0))="","",INDEX('Spending by Category'!$H$5:$H$505,MATCH(1,INDEX(('Spending by Category'!$B$5:$B$505=$B22)*('Spending by Category'!$D$5:$D$505=$D22),0),0))),"")</f>
        <v>9.2543810859946354E-2</v>
      </c>
      <c r="I22" s="14" t="str">
        <f>IFERROR(IF(INDEX('Spending by Category'!$I$5:$I$505,MATCH(1,INDEX(('Spending by Category'!$B$5:$B$505=$B22)*('Spending by Category'!$D$5:$D$505=$D22),0),0))="","",INDEX('Spending by Category'!$I$5:$I$505,MATCH(1,INDEX(('Spending by Category'!$B$5:$B$505=$B22)*('Spending by Category'!$D$5:$D$505=$D22),0),0))),"")</f>
        <v/>
      </c>
      <c r="J22" s="14">
        <f>IFERROR(IF(INDEX('Spending by Category'!$J$5:$J$505,MATCH(1,INDEX(('Spending by Category'!$B$5:$B$505=$B22)*('Spending by Category'!$D$5:$D$505=$D22),0),0))="","",INDEX('Spending by Category'!$J$5:$J$505,MATCH(1,INDEX(('Spending by Category'!$B$5:$B$505=$B22)*('Spending by Category'!$D$5:$D$505=$D22),0),0))),"")</f>
        <v>0.14011771444699939</v>
      </c>
      <c r="K22" s="14" t="str">
        <f>IFERROR(IF(INDEX('Spending by Category'!$K$5:$K$505,MATCH(1,INDEX(('Spending by Category'!$B$5:$B$505=$B22)*('Spending by Category'!$D$5:$D$505=$D22),0),0))="","",INDEX('Spending by Category'!$K$5:$K$505,MATCH(1,INDEX(('Spending by Category'!$B$5:$B$505=$B22)*('Spending by Category'!$D$5:$D$505=$D22),0),0))),"")</f>
        <v/>
      </c>
      <c r="L22" s="14">
        <f>IFERROR(IF(INDEX('Spending by Category'!$L$5:$L$505,MATCH(1,INDEX(('Spending by Category'!$B$5:$B$505=$B22)*('Spending by Category'!$D$5:$D$505=$D22),0),0))="","",INDEX('Spending by Category'!$L$5:$L$505,MATCH(1,INDEX(('Spending by Category'!$B$5:$B$505=$B22)*('Spending by Category'!$D$5:$D$505=$D22),0),0))),"")</f>
        <v>7.6795311345580736E-2</v>
      </c>
      <c r="M22" s="16">
        <f>IFERROR(IF(INDEX('Spending by Category'!$M$5:$M$505,MATCH(1,INDEX(('Spending by Category'!$B$5:$B$505=$B22)*('Spending by Category'!$D$5:$D$505=$D22),0),0))="","",INDEX('Spending by Category'!$M$5:$M$505,MATCH(1,INDEX(('Spending by Category'!$B$5:$B$505=$B22)*('Spending by Category'!$D$5:$D$505=$D22),0),0))),"")</f>
        <v>1.7318468217929449E-2</v>
      </c>
      <c r="N22" s="14" t="str">
        <f>IFERROR(IF(INDEX('Spending by Category'!$N$5:$N$505,MATCH(1,INDEX(('Spending by Category'!$B$5:$B$505=$B22)*('Spending by Category'!$D$5:$D$505=$D22),0),0))="","",INDEX('Spending by Category'!$N$5:$N$505,MATCH(1,INDEX(('Spending by Category'!$B$5:$B$505=$B22)*('Spending by Category'!$D$5:$D$505=$D22),0),0))),"")</f>
        <v/>
      </c>
      <c r="O22" s="14">
        <f>IFERROR(IF(INDEX('Spending by Category'!$O$5:$O$505,MATCH(1,INDEX(('Spending by Category'!$B$5:$B$505=$B22)*('Spending by Category'!$D$5:$D$505=$D22),0),0))="","",INDEX('Spending by Category'!$O$5:$O$505,MATCH(1,INDEX(('Spending by Category'!$B$5:$B$505=$B22)*('Spending by Category'!$D$5:$D$505=$D22),0),0))),"")</f>
        <v>2.670540672914885E-2</v>
      </c>
      <c r="P22" s="14" t="str">
        <f>IFERROR(IF(INDEX('Spending by Category'!$P$5:$P$505,MATCH(1,INDEX(('Spending by Category'!$B$5:$B$505=$B22)*('Spending by Category'!$D$5:$D$505=$D22),0),0))="","",INDEX('Spending by Category'!$P$5:$P$505,MATCH(1,INDEX(('Spending by Category'!$B$5:$B$505=$B22)*('Spending by Category'!$D$5:$D$505=$D22),0),0))),"")</f>
        <v/>
      </c>
      <c r="Q22" s="14">
        <f>IFERROR(IF(INDEX('Spending by Category'!$Q$5:$Q$505,MATCH(1,INDEX(('Spending by Category'!$B$5:$B$505=$B22)*('Spending by Category'!$D$5:$D$505=$D22),0),0))="","",INDEX('Spending by Category'!$Q$5:$Q$505,MATCH(1,INDEX(('Spending by Category'!$B$5:$B$505=$B22)*('Spending by Category'!$D$5:$D$505=$D22),0),0))),"")</f>
        <v>0.64651928840039519</v>
      </c>
      <c r="R22" s="14">
        <f>IFERROR(IF(INDEX('Spending by Category'!$R$5:$R$505,MATCH(1,INDEX(('Spending by Category'!$B$5:$B$505=$B22)*('Spending by Category'!$D$5:$D$505=$D22),0),0))="","",INDEX('Spending by Category'!$R$5:$R$505,MATCH(1,INDEX(('Spending by Category'!$B$5:$B$505=$B22)*('Spending by Category'!$D$5:$D$505=$D22),0),0))),"")</f>
        <v>0.99999999999999989</v>
      </c>
      <c r="S22" s="14">
        <f>IFERROR(IF(INDEX('Spending by Category'!$Z$5:$Z$505,MATCH(1,INDEX(('Spending by Category'!$B$5:$B$505=$B22)*('Spending by Category'!$D$5:$D$505=$D22),0),0))="","",INDEX('Spending by Category'!$Z$5:$Z$505,MATCH(1,INDEX(('Spending by Category'!$B$5:$B$505=$B22)*('Spending by Category'!$D$5:$D$505=$D22),0),0))),"")</f>
        <v>3.6753218200000007E-2</v>
      </c>
    </row>
    <row r="23" spans="1:19" x14ac:dyDescent="0.2">
      <c r="A23" s="6" t="s">
        <v>94</v>
      </c>
      <c r="B23" s="6" t="s">
        <v>95</v>
      </c>
      <c r="C23" s="6"/>
      <c r="D23" s="15" t="str">
        <f>TEXT(SUMPRODUCT(MAX(('Spending by Category'!$B$5:$B$505=$B23)*('Spending by Category'!$D$5:$D$505+0))),"0")</f>
        <v>2024</v>
      </c>
      <c r="E23" s="15" t="str">
        <f>INDEX('Spending by Category'!$E$5:$E$505,MATCH(1,INDEX(('Spending by Category'!$B$5:$B$505=$B23)*('Spending by Category'!$D$5:$D$505=$D23),0),0))</f>
        <v>General government</v>
      </c>
      <c r="F23" s="14">
        <f>IFERROR(IF(INDEX('Spending by Category'!$F$5:$F$505,MATCH(1,INDEX(('Spending by Category'!$B$5:$B$505=$B23)*('Spending by Category'!$D$5:$D$505=$D23),0),0))="","",INDEX('Spending by Category'!$F$5:$F$505,MATCH(1,INDEX(('Spending by Category'!$B$5:$B$505=$B23)*('Spending by Category'!$D$5:$D$505=$D23),0),0))),"")</f>
        <v>0.32079862026896389</v>
      </c>
      <c r="G23" s="14" t="str">
        <f>IFERROR(IF(INDEX('Spending by Category'!$G$5:$G$505,MATCH(1,INDEX(('Spending by Category'!$B$5:$B$505=$B23)*('Spending by Category'!$D$5:$D$505=$D23),0),0))="","",INDEX('Spending by Category'!$G$5:$G$505,MATCH(1,INDEX(('Spending by Category'!$B$5:$B$505=$B23)*('Spending by Category'!$D$5:$D$505=$D23),0),0))),"")</f>
        <v/>
      </c>
      <c r="H23" s="14">
        <f>IFERROR(IF(INDEX('Spending by Category'!$H$5:$H$505,MATCH(1,INDEX(('Spending by Category'!$B$5:$B$505=$B23)*('Spending by Category'!$D$5:$D$505=$D23),0),0))="","",INDEX('Spending by Category'!$H$5:$H$505,MATCH(1,INDEX(('Spending by Category'!$B$5:$B$505=$B23)*('Spending by Category'!$D$5:$D$505=$D23),0),0))),"")</f>
        <v>5.1276178372449382E-2</v>
      </c>
      <c r="I23" s="14">
        <f>IFERROR(IF(INDEX('Spending by Category'!$I$5:$I$505,MATCH(1,INDEX(('Spending by Category'!$B$5:$B$505=$B23)*('Spending by Category'!$D$5:$D$505=$D23),0),0))="","",INDEX('Spending by Category'!$I$5:$I$505,MATCH(1,INDEX(('Spending by Category'!$B$5:$B$505=$B23)*('Spending by Category'!$D$5:$D$505=$D23),0),0))),"")</f>
        <v>7.5466067641287202E-2</v>
      </c>
      <c r="J23" s="14">
        <f>IFERROR(IF(INDEX('Spending by Category'!$J$5:$J$505,MATCH(1,INDEX(('Spending by Category'!$B$5:$B$505=$B23)*('Spending by Category'!$D$5:$D$505=$D23),0),0))="","",INDEX('Spending by Category'!$J$5:$J$505,MATCH(1,INDEX(('Spending by Category'!$B$5:$B$505=$B23)*('Spending by Category'!$D$5:$D$505=$D23),0),0))),"")</f>
        <v>0.17544293704982791</v>
      </c>
      <c r="K23" s="14">
        <f>IFERROR(IF(INDEX('Spending by Category'!$K$5:$K$505,MATCH(1,INDEX(('Spending by Category'!$B$5:$B$505=$B23)*('Spending by Category'!$D$5:$D$505=$D23),0),0))="","",INDEX('Spending by Category'!$K$5:$K$505,MATCH(1,INDEX(('Spending by Category'!$B$5:$B$505=$B23)*('Spending by Category'!$D$5:$D$505=$D23),0),0))),"")</f>
        <v>1.053531480125258E-2</v>
      </c>
      <c r="L23" s="14">
        <f>IFERROR(IF(INDEX('Spending by Category'!$L$5:$L$505,MATCH(1,INDEX(('Spending by Category'!$B$5:$B$505=$B23)*('Spending by Category'!$D$5:$D$505=$D23),0),0))="","",INDEX('Spending by Category'!$L$5:$L$505,MATCH(1,INDEX(('Spending by Category'!$B$5:$B$505=$B23)*('Spending by Category'!$D$5:$D$505=$D23),0),0))),"")</f>
        <v>5.6773085656024153E-2</v>
      </c>
      <c r="M23" s="16">
        <f>IFERROR(IF(INDEX('Spending by Category'!$M$5:$M$505,MATCH(1,INDEX(('Spending by Category'!$B$5:$B$505=$B23)*('Spending by Category'!$D$5:$D$505=$D23),0),0))="","",INDEX('Spending by Category'!$M$5:$M$505,MATCH(1,INDEX(('Spending by Category'!$B$5:$B$505=$B23)*('Spending by Category'!$D$5:$D$505=$D23),0),0))),"")</f>
        <v>8.1283191669580382E-2</v>
      </c>
      <c r="N23" s="14">
        <f>IFERROR(IF(INDEX('Spending by Category'!$N$5:$N$505,MATCH(1,INDEX(('Spending by Category'!$B$5:$B$505=$B23)*('Spending by Category'!$D$5:$D$505=$D23),0),0))="","",INDEX('Spending by Category'!$N$5:$N$505,MATCH(1,INDEX(('Spending by Category'!$B$5:$B$505=$B23)*('Spending by Category'!$D$5:$D$505=$D23),0),0))),"")</f>
        <v>7.762132996700687E-3</v>
      </c>
      <c r="O23" s="14">
        <f>IFERROR(IF(INDEX('Spending by Category'!$O$5:$O$505,MATCH(1,INDEX(('Spending by Category'!$B$5:$B$505=$B23)*('Spending by Category'!$D$5:$D$505=$D23),0),0))="","",INDEX('Spending by Category'!$O$5:$O$505,MATCH(1,INDEX(('Spending by Category'!$B$5:$B$505=$B23)*('Spending by Category'!$D$5:$D$505=$D23),0),0))),"")</f>
        <v>0.145092723586108</v>
      </c>
      <c r="P23" s="14">
        <f>IFERROR(IF(INDEX('Spending by Category'!$P$5:$P$505,MATCH(1,INDEX(('Spending by Category'!$B$5:$B$505=$B23)*('Spending by Category'!$D$5:$D$505=$D23),0),0))="","",INDEX('Spending by Category'!$P$5:$P$505,MATCH(1,INDEX(('Spending by Category'!$B$5:$B$505=$B23)*('Spending by Category'!$D$5:$D$505=$D23),0),0))),"")</f>
        <v>7.5569747957806105E-2</v>
      </c>
      <c r="Q23" s="14" t="str">
        <f>IFERROR(IF(INDEX('Spending by Category'!$Q$5:$Q$505,MATCH(1,INDEX(('Spending by Category'!$B$5:$B$505=$B23)*('Spending by Category'!$D$5:$D$505=$D23),0),0))="","",INDEX('Spending by Category'!$Q$5:$Q$505,MATCH(1,INDEX(('Spending by Category'!$B$5:$B$505=$B23)*('Spending by Category'!$D$5:$D$505=$D23),0),0))),"")</f>
        <v/>
      </c>
      <c r="R23" s="14">
        <f>IFERROR(IF(INDEX('Spending by Category'!$R$5:$R$505,MATCH(1,INDEX(('Spending by Category'!$B$5:$B$505=$B23)*('Spending by Category'!$D$5:$D$505=$D23),0),0))="","",INDEX('Spending by Category'!$R$5:$R$505,MATCH(1,INDEX(('Spending by Category'!$B$5:$B$505=$B23)*('Spending by Category'!$D$5:$D$505=$D23),0),0))),"")</f>
        <v>1.0000000000000002</v>
      </c>
      <c r="S23" s="14" t="str">
        <f>IFERROR(IF(INDEX('Spending by Category'!$Z$5:$Z$505,MATCH(1,INDEX(('Spending by Category'!$B$5:$B$505=$B23)*('Spending by Category'!$D$5:$D$505=$D23),0),0))="","",INDEX('Spending by Category'!$Z$5:$Z$505,MATCH(1,INDEX(('Spending by Category'!$B$5:$B$505=$B23)*('Spending by Category'!$D$5:$D$505=$D23),0),0))),"")</f>
        <v/>
      </c>
    </row>
    <row r="24" spans="1:19" x14ac:dyDescent="0.2">
      <c r="A24" s="6" t="s">
        <v>98</v>
      </c>
      <c r="B24" s="6" t="s">
        <v>99</v>
      </c>
      <c r="C24" s="6"/>
      <c r="D24" s="15" t="str">
        <f>TEXT(SUMPRODUCT(MAX(('Spending by Category'!$B$5:$B$505=$B24)*('Spending by Category'!$D$5:$D$505+0))),"0")</f>
        <v>2015</v>
      </c>
      <c r="E24" s="15" t="str">
        <f>INDEX('Spending by Category'!$E$5:$E$505,MATCH(1,INDEX(('Spending by Category'!$B$5:$B$505=$B24)*('Spending by Category'!$D$5:$D$505=$D24),0),0))</f>
        <v>Central government (budgetary)</v>
      </c>
      <c r="F24" s="14">
        <f>IFERROR(IF(INDEX('Spending by Category'!$F$5:$F$505,MATCH(1,INDEX(('Spending by Category'!$B$5:$B$505=$B24)*('Spending by Category'!$D$5:$D$505=$D24),0),0))="","",INDEX('Spending by Category'!$F$5:$F$505,MATCH(1,INDEX(('Spending by Category'!$B$5:$B$505=$B24)*('Spending by Category'!$D$5:$D$505=$D24),0),0))),"")</f>
        <v>0.19300066059403401</v>
      </c>
      <c r="G24" s="14">
        <f>IFERROR(IF(INDEX('Spending by Category'!$G$5:$G$505,MATCH(1,INDEX(('Spending by Category'!$B$5:$B$505=$B24)*('Spending by Category'!$D$5:$D$505=$D24),0),0))="","",INDEX('Spending by Category'!$G$5:$G$505,MATCH(1,INDEX(('Spending by Category'!$B$5:$B$505=$B24)*('Spending by Category'!$D$5:$D$505=$D24),0),0))),"")</f>
        <v>0.26119442533951098</v>
      </c>
      <c r="H24" s="14">
        <f>IFERROR(IF(INDEX('Spending by Category'!$H$5:$H$505,MATCH(1,INDEX(('Spending by Category'!$B$5:$B$505=$B24)*('Spending by Category'!$D$5:$D$505=$D24),0),0))="","",INDEX('Spending by Category'!$H$5:$H$505,MATCH(1,INDEX(('Spending by Category'!$B$5:$B$505=$B24)*('Spending by Category'!$D$5:$D$505=$D24),0),0))),"")</f>
        <v>2.91812083878858E-2</v>
      </c>
      <c r="I24" s="14">
        <f>IFERROR(IF(INDEX('Spending by Category'!$I$5:$I$505,MATCH(1,INDEX(('Spending by Category'!$B$5:$B$505=$B24)*('Spending by Category'!$D$5:$D$505=$D24),0),0))="","",INDEX('Spending by Category'!$I$5:$I$505,MATCH(1,INDEX(('Spending by Category'!$B$5:$B$505=$B24)*('Spending by Category'!$D$5:$D$505=$D24),0),0))),"")</f>
        <v>9.9755902752477893E-2</v>
      </c>
      <c r="J24" s="14">
        <f>IFERROR(IF(INDEX('Spending by Category'!$J$5:$J$505,MATCH(1,INDEX(('Spending by Category'!$B$5:$B$505=$B24)*('Spending by Category'!$D$5:$D$505=$D24),0),0))="","",INDEX('Spending by Category'!$J$5:$J$505,MATCH(1,INDEX(('Spending by Category'!$B$5:$B$505=$B24)*('Spending by Category'!$D$5:$D$505=$D24),0),0))),"")</f>
        <v>7.4095559147980397E-2</v>
      </c>
      <c r="K24" s="14">
        <f>IFERROR(IF(INDEX('Spending by Category'!$K$5:$K$505,MATCH(1,INDEX(('Spending by Category'!$B$5:$B$505=$B24)*('Spending by Category'!$D$5:$D$505=$D24),0),0))="","",INDEX('Spending by Category'!$K$5:$K$505,MATCH(1,INDEX(('Spending by Category'!$B$5:$B$505=$B24)*('Spending by Category'!$D$5:$D$505=$D24),0),0))),"")</f>
        <v>4.34624155329753E-3</v>
      </c>
      <c r="L24" s="14">
        <f>IFERROR(IF(INDEX('Spending by Category'!$L$5:$L$505,MATCH(1,INDEX(('Spending by Category'!$B$5:$B$505=$B24)*('Spending by Category'!$D$5:$D$505=$D24),0),0))="","",INDEX('Spending by Category'!$L$5:$L$505,MATCH(1,INDEX(('Spending by Category'!$B$5:$B$505=$B24)*('Spending by Category'!$D$5:$D$505=$D24),0),0))),"")</f>
        <v>1.9516233018736801E-2</v>
      </c>
      <c r="M24" s="16">
        <f>IFERROR(IF(INDEX('Spending by Category'!$M$5:$M$505,MATCH(1,INDEX(('Spending by Category'!$B$5:$B$505=$B24)*('Spending by Category'!$D$5:$D$505=$D24),0),0))="","",INDEX('Spending by Category'!$M$5:$M$505,MATCH(1,INDEX(('Spending by Category'!$B$5:$B$505=$B24)*('Spending by Category'!$D$5:$D$505=$D24),0),0))),"")</f>
        <v>0.109927120180356</v>
      </c>
      <c r="N24" s="14">
        <f>IFERROR(IF(INDEX('Spending by Category'!$N$5:$N$505,MATCH(1,INDEX(('Spending by Category'!$B$5:$B$505=$B24)*('Spending by Category'!$D$5:$D$505=$D24),0),0))="","",INDEX('Spending by Category'!$N$5:$N$505,MATCH(1,INDEX(('Spending by Category'!$B$5:$B$505=$B24)*('Spending by Category'!$D$5:$D$505=$D24),0),0))),"")</f>
        <v>8.8682203227620996E-3</v>
      </c>
      <c r="O24" s="14">
        <f>IFERROR(IF(INDEX('Spending by Category'!$O$5:$O$505,MATCH(1,INDEX(('Spending by Category'!$B$5:$B$505=$B24)*('Spending by Category'!$D$5:$D$505=$D24),0),0))="","",INDEX('Spending by Category'!$O$5:$O$505,MATCH(1,INDEX(('Spending by Category'!$B$5:$B$505=$B24)*('Spending by Category'!$D$5:$D$505=$D24),0),0))),"")</f>
        <v>0.17705018265988301</v>
      </c>
      <c r="P24" s="14">
        <f>IFERROR(IF(INDEX('Spending by Category'!$P$5:$P$505,MATCH(1,INDEX(('Spending by Category'!$B$5:$B$505=$B24)*('Spending by Category'!$D$5:$D$505=$D24),0),0))="","",INDEX('Spending by Category'!$P$5:$P$505,MATCH(1,INDEX(('Spending by Category'!$B$5:$B$505=$B24)*('Spending by Category'!$D$5:$D$505=$D24),0),0))),"")</f>
        <v>2.30642460430758E-2</v>
      </c>
      <c r="Q24" s="14" t="str">
        <f>IFERROR(IF(INDEX('Spending by Category'!$Q$5:$Q$505,MATCH(1,INDEX(('Spending by Category'!$B$5:$B$505=$B24)*('Spending by Category'!$D$5:$D$505=$D24),0),0))="","",INDEX('Spending by Category'!$Q$5:$Q$505,MATCH(1,INDEX(('Spending by Category'!$B$5:$B$505=$B24)*('Spending by Category'!$D$5:$D$505=$D24),0),0))),"")</f>
        <v/>
      </c>
      <c r="R24" s="14">
        <f>IFERROR(IF(INDEX('Spending by Category'!$R$5:$R$505,MATCH(1,INDEX(('Spending by Category'!$B$5:$B$505=$B24)*('Spending by Category'!$D$5:$D$505=$D24),0),0))="","",INDEX('Spending by Category'!$R$5:$R$505,MATCH(1,INDEX(('Spending by Category'!$B$5:$B$505=$B24)*('Spending by Category'!$D$5:$D$505=$D24),0),0))),"")</f>
        <v>1.0000000000000004</v>
      </c>
      <c r="S24" s="14">
        <f>IFERROR(IF(INDEX('Spending by Category'!$Z$5:$Z$505,MATCH(1,INDEX(('Spending by Category'!$B$5:$B$505=$B24)*('Spending by Category'!$D$5:$D$505=$D24),0),0))="","",INDEX('Spending by Category'!$Z$5:$Z$505,MATCH(1,INDEX(('Spending by Category'!$B$5:$B$505=$B24)*('Spending by Category'!$D$5:$D$505=$D24),0),0))),"")</f>
        <v>0.12820219990000001</v>
      </c>
    </row>
    <row r="25" spans="1:19" x14ac:dyDescent="0.2">
      <c r="A25" s="6" t="s">
        <v>100</v>
      </c>
      <c r="B25" s="6" t="s">
        <v>101</v>
      </c>
      <c r="C25" s="6"/>
      <c r="D25" s="15" t="str">
        <f>TEXT(SUMPRODUCT(MAX(('Spending by Category'!$B$5:$B$505=$B25)*('Spending by Category'!$D$5:$D$505+0))),"0")</f>
        <v>2023</v>
      </c>
      <c r="E25" s="15" t="str">
        <f>INDEX('Spending by Category'!$E$5:$E$505,MATCH(1,INDEX(('Spending by Category'!$B$5:$B$505=$B25)*('Spending by Category'!$D$5:$D$505=$D25),0),0))</f>
        <v>Central government (budgetary)</v>
      </c>
      <c r="F25" s="14">
        <f>IFERROR(IF(INDEX('Spending by Category'!$F$5:$F$505,MATCH(1,INDEX(('Spending by Category'!$B$5:$B$505=$B25)*('Spending by Category'!$D$5:$D$505=$D25),0),0))="","",INDEX('Spending by Category'!$F$5:$F$505,MATCH(1,INDEX(('Spending by Category'!$B$5:$B$505=$B25)*('Spending by Category'!$D$5:$D$505=$D25),0),0))),"")</f>
        <v>5.3780443475099887E-2</v>
      </c>
      <c r="G25" s="14">
        <f>IFERROR(IF(INDEX('Spending by Category'!$G$5:$G$505,MATCH(1,INDEX(('Spending by Category'!$B$5:$B$505=$B25)*('Spending by Category'!$D$5:$D$505=$D25),0),0))="","",INDEX('Spending by Category'!$G$5:$G$505,MATCH(1,INDEX(('Spending by Category'!$B$5:$B$505=$B25)*('Spending by Category'!$D$5:$D$505=$D25),0),0))),"")</f>
        <v>0.1547437295528899</v>
      </c>
      <c r="H25" s="14">
        <f>IFERROR(IF(INDEX('Spending by Category'!$H$5:$H$505,MATCH(1,INDEX(('Spending by Category'!$B$5:$B$505=$B25)*('Spending by Category'!$D$5:$D$505=$D25),0),0))="","",INDEX('Spending by Category'!$H$5:$H$505,MATCH(1,INDEX(('Spending by Category'!$B$5:$B$505=$B25)*('Spending by Category'!$D$5:$D$505=$D25),0),0))),"")</f>
        <v>0.13545983278807711</v>
      </c>
      <c r="I25" s="14">
        <f>IFERROR(IF(INDEX('Spending by Category'!$I$5:$I$505,MATCH(1,INDEX(('Spending by Category'!$B$5:$B$505=$B25)*('Spending by Category'!$D$5:$D$505=$D25),0),0))="","",INDEX('Spending by Category'!$I$5:$I$505,MATCH(1,INDEX(('Spending by Category'!$B$5:$B$505=$B25)*('Spending by Category'!$D$5:$D$505=$D25),0),0))),"")</f>
        <v>0.14482915303525989</v>
      </c>
      <c r="J25" s="14">
        <f>IFERROR(IF(INDEX('Spending by Category'!$J$5:$J$505,MATCH(1,INDEX(('Spending by Category'!$B$5:$B$505=$B25)*('Spending by Category'!$D$5:$D$505=$D25),0),0))="","",INDEX('Spending by Category'!$J$5:$J$505,MATCH(1,INDEX(('Spending by Category'!$B$5:$B$505=$B25)*('Spending by Category'!$D$5:$D$505=$D25),0),0))),"")</f>
        <v>4.9645583424209383E-2</v>
      </c>
      <c r="K25" s="14">
        <f>IFERROR(IF(INDEX('Spending by Category'!$K$5:$K$505,MATCH(1,INDEX(('Spending by Category'!$B$5:$B$505=$B25)*('Spending by Category'!$D$5:$D$505=$D25),0),0))="","",INDEX('Spending by Category'!$K$5:$K$505,MATCH(1,INDEX(('Spending by Category'!$B$5:$B$505=$B25)*('Spending by Category'!$D$5:$D$505=$D25),0),0))),"")</f>
        <v>6.8157033805888692E-4</v>
      </c>
      <c r="L25" s="14">
        <f>IFERROR(IF(INDEX('Spending by Category'!$L$5:$L$505,MATCH(1,INDEX(('Spending by Category'!$B$5:$B$505=$B25)*('Spending by Category'!$D$5:$D$505=$D25),0),0))="","",INDEX('Spending by Category'!$L$5:$L$505,MATCH(1,INDEX(('Spending by Category'!$B$5:$B$505=$B25)*('Spending by Category'!$D$5:$D$505=$D25),0),0))),"")</f>
        <v>2.9352962559069429E-2</v>
      </c>
      <c r="M25" s="16">
        <f>IFERROR(IF(INDEX('Spending by Category'!$M$5:$M$505,MATCH(1,INDEX(('Spending by Category'!$B$5:$B$505=$B25)*('Spending by Category'!$D$5:$D$505=$D25),0),0))="","",INDEX('Spending by Category'!$M$5:$M$505,MATCH(1,INDEX(('Spending by Category'!$B$5:$B$505=$B25)*('Spending by Category'!$D$5:$D$505=$D25),0),0))),"")</f>
        <v>9.6519447473645978E-2</v>
      </c>
      <c r="N25" s="14">
        <f>IFERROR(IF(INDEX('Spending by Category'!$N$5:$N$505,MATCH(1,INDEX(('Spending by Category'!$B$5:$B$505=$B25)*('Spending by Category'!$D$5:$D$505=$D25),0),0))="","",INDEX('Spending by Category'!$N$5:$N$505,MATCH(1,INDEX(('Spending by Category'!$B$5:$B$505=$B25)*('Spending by Category'!$D$5:$D$505=$D25),0),0))),"")</f>
        <v>2.029262086513995E-2</v>
      </c>
      <c r="O25" s="14">
        <f>IFERROR(IF(INDEX('Spending by Category'!$O$5:$O$505,MATCH(1,INDEX(('Spending by Category'!$B$5:$B$505=$B25)*('Spending by Category'!$D$5:$D$505=$D25),0),0))="","",INDEX('Spending by Category'!$O$5:$O$505,MATCH(1,INDEX(('Spending by Category'!$B$5:$B$505=$B25)*('Spending by Category'!$D$5:$D$505=$D25),0),0))),"")</f>
        <v>0.1184387495456198</v>
      </c>
      <c r="P25" s="14">
        <f>IFERROR(IF(INDEX('Spending by Category'!$P$5:$P$505,MATCH(1,INDEX(('Spending by Category'!$B$5:$B$505=$B25)*('Spending by Category'!$D$5:$D$505=$D25),0),0))="","",INDEX('Spending by Category'!$P$5:$P$505,MATCH(1,INDEX(('Spending by Category'!$B$5:$B$505=$B25)*('Spending by Category'!$D$5:$D$505=$D25),0),0))),"")</f>
        <v>0.1962559069429298</v>
      </c>
      <c r="Q25" s="14" t="str">
        <f>IFERROR(IF(INDEX('Spending by Category'!$Q$5:$Q$505,MATCH(1,INDEX(('Spending by Category'!$B$5:$B$505=$B25)*('Spending by Category'!$D$5:$D$505=$D25),0),0))="","",INDEX('Spending by Category'!$Q$5:$Q$505,MATCH(1,INDEX(('Spending by Category'!$B$5:$B$505=$B25)*('Spending by Category'!$D$5:$D$505=$D25),0),0))),"")</f>
        <v/>
      </c>
      <c r="R25" s="14">
        <f>IFERROR(IF(INDEX('Spending by Category'!$R$5:$R$505,MATCH(1,INDEX(('Spending by Category'!$B$5:$B$505=$B25)*('Spending by Category'!$D$5:$D$505=$D25),0),0))="","",INDEX('Spending by Category'!$R$5:$R$505,MATCH(1,INDEX(('Spending by Category'!$B$5:$B$505=$B25)*('Spending by Category'!$D$5:$D$505=$D25),0),0))),"")</f>
        <v>1</v>
      </c>
      <c r="S25" s="14">
        <f>IFERROR(IF(INDEX('Spending by Category'!$Z$5:$Z$505,MATCH(1,INDEX(('Spending by Category'!$B$5:$B$505=$B25)*('Spending by Category'!$D$5:$D$505=$D25),0),0))="","",INDEX('Spending by Category'!$Z$5:$Z$505,MATCH(1,INDEX(('Spending by Category'!$B$5:$B$505=$B25)*('Spending by Category'!$D$5:$D$505=$D25),0),0))),"")</f>
        <v>0.1050131416</v>
      </c>
    </row>
    <row r="26" spans="1:19" x14ac:dyDescent="0.2">
      <c r="A26" s="6" t="s">
        <v>102</v>
      </c>
      <c r="B26" s="6" t="s">
        <v>103</v>
      </c>
      <c r="C26" s="6" t="s">
        <v>49</v>
      </c>
      <c r="D26" s="15" t="str">
        <f>TEXT(SUMPRODUCT(MAX(('Spending by Category'!$B$5:$B$505=$B26)*('Spending by Category'!$D$5:$D$505+0))),"0")</f>
        <v>2023</v>
      </c>
      <c r="E26" s="15" t="str">
        <f>INDEX('Spending by Category'!$E$5:$E$505,MATCH(1,INDEX(('Spending by Category'!$B$5:$B$505=$B26)*('Spending by Category'!$D$5:$D$505=$D26),0),0))</f>
        <v>General government</v>
      </c>
      <c r="F26" s="14">
        <f>IFERROR(IF(INDEX('Spending by Category'!$F$5:$F$505,MATCH(1,INDEX(('Spending by Category'!$B$5:$B$505=$B26)*('Spending by Category'!$D$5:$D$505=$D26),0),0))="","",INDEX('Spending by Category'!$F$5:$F$505,MATCH(1,INDEX(('Spending by Category'!$B$5:$B$505=$B26)*('Spending by Category'!$D$5:$D$505=$D26),0),0))),"")</f>
        <v>0.24569073440689049</v>
      </c>
      <c r="G26" s="14">
        <f>IFERROR(IF(INDEX('Spending by Category'!$G$5:$G$505,MATCH(1,INDEX(('Spending by Category'!$B$5:$B$505=$B26)*('Spending by Category'!$D$5:$D$505=$D26),0),0))="","",INDEX('Spending by Category'!$G$5:$G$505,MATCH(1,INDEX(('Spending by Category'!$B$5:$B$505=$B26)*('Spending by Category'!$D$5:$D$505=$D26),0),0))),"")</f>
        <v>0.21747689672489101</v>
      </c>
      <c r="H26" s="14">
        <f>IFERROR(IF(INDEX('Spending by Category'!$H$5:$H$505,MATCH(1,INDEX(('Spending by Category'!$B$5:$B$505=$B26)*('Spending by Category'!$D$5:$D$505=$D26),0),0))="","",INDEX('Spending by Category'!$H$5:$H$505,MATCH(1,INDEX(('Spending by Category'!$B$5:$B$505=$B26)*('Spending by Category'!$D$5:$D$505=$D26),0),0))),"")</f>
        <v>5.1918796032012951E-2</v>
      </c>
      <c r="I26" s="14">
        <f>IFERROR(IF(INDEX('Spending by Category'!$I$5:$I$505,MATCH(1,INDEX(('Spending by Category'!$B$5:$B$505=$B26)*('Spending by Category'!$D$5:$D$505=$D26),0),0))="","",INDEX('Spending by Category'!$I$5:$I$505,MATCH(1,INDEX(('Spending by Category'!$B$5:$B$505=$B26)*('Spending by Category'!$D$5:$D$505=$D26),0),0))),"")</f>
        <v>5.8137590361549932E-2</v>
      </c>
      <c r="J26" s="14">
        <f>IFERROR(IF(INDEX('Spending by Category'!$J$5:$J$505,MATCH(1,INDEX(('Spending by Category'!$B$5:$B$505=$B26)*('Spending by Category'!$D$5:$D$505=$D26),0),0))="","",INDEX('Spending by Category'!$J$5:$J$505,MATCH(1,INDEX(('Spending by Category'!$B$5:$B$505=$B26)*('Spending by Category'!$D$5:$D$505=$D26),0),0))),"")</f>
        <v>0.13722940504223641</v>
      </c>
      <c r="K26" s="14">
        <f>IFERROR(IF(INDEX('Spending by Category'!$K$5:$K$505,MATCH(1,INDEX(('Spending by Category'!$B$5:$B$505=$B26)*('Spending by Category'!$D$5:$D$505=$D26),0),0))="","",INDEX('Spending by Category'!$K$5:$K$505,MATCH(1,INDEX(('Spending by Category'!$B$5:$B$505=$B26)*('Spending by Category'!$D$5:$D$505=$D26),0),0))),"")</f>
        <v>2.3928502812556951E-3</v>
      </c>
      <c r="L26" s="14">
        <f>IFERROR(IF(INDEX('Spending by Category'!$L$5:$L$505,MATCH(1,INDEX(('Spending by Category'!$B$5:$B$505=$B26)*('Spending by Category'!$D$5:$D$505=$D26),0),0))="","",INDEX('Spending by Category'!$L$5:$L$505,MATCH(1,INDEX(('Spending by Category'!$B$5:$B$505=$B26)*('Spending by Category'!$D$5:$D$505=$D26),0),0))),"")</f>
        <v>1.7150442175099739E-2</v>
      </c>
      <c r="M26" s="16">
        <f>IFERROR(IF(INDEX('Spending by Category'!$M$5:$M$505,MATCH(1,INDEX(('Spending by Category'!$B$5:$B$505=$B26)*('Spending by Category'!$D$5:$D$505=$D26),0),0))="","",INDEX('Spending by Category'!$M$5:$M$505,MATCH(1,INDEX(('Spending by Category'!$B$5:$B$505=$B26)*('Spending by Category'!$D$5:$D$505=$D26),0),0))),"")</f>
        <v>2.8000516465792259E-2</v>
      </c>
      <c r="N26" s="14">
        <f>IFERROR(IF(INDEX('Spending by Category'!$N$5:$N$505,MATCH(1,INDEX(('Spending by Category'!$B$5:$B$505=$B26)*('Spending by Category'!$D$5:$D$505=$D26),0),0))="","",INDEX('Spending by Category'!$N$5:$N$505,MATCH(1,INDEX(('Spending by Category'!$B$5:$B$505=$B26)*('Spending by Category'!$D$5:$D$505=$D26),0),0))),"")</f>
        <v>2.798187916523484E-3</v>
      </c>
      <c r="O26" s="14">
        <f>IFERROR(IF(INDEX('Spending by Category'!$O$5:$O$505,MATCH(1,INDEX(('Spending by Category'!$B$5:$B$505=$B26)*('Spending by Category'!$D$5:$D$505=$D26),0),0))="","",INDEX('Spending by Category'!$O$5:$O$505,MATCH(1,INDEX(('Spending by Category'!$B$5:$B$505=$B26)*('Spending by Category'!$D$5:$D$505=$D26),0),0))),"")</f>
        <v>0.18429175703334821</v>
      </c>
      <c r="P26" s="14">
        <f>IFERROR(IF(INDEX('Spending by Category'!$P$5:$P$505,MATCH(1,INDEX(('Spending by Category'!$B$5:$B$505=$B26)*('Spending by Category'!$D$5:$D$505=$D26),0),0))="","",INDEX('Spending by Category'!$P$5:$P$505,MATCH(1,INDEX(('Spending by Category'!$B$5:$B$505=$B26)*('Spending by Category'!$D$5:$D$505=$D26),0),0))),"")</f>
        <v>5.4912823560400587E-2</v>
      </c>
      <c r="Q26" s="14" t="str">
        <f>IFERROR(IF(INDEX('Spending by Category'!$Q$5:$Q$505,MATCH(1,INDEX(('Spending by Category'!$B$5:$B$505=$B26)*('Spending by Category'!$D$5:$D$505=$D26),0),0))="","",INDEX('Spending by Category'!$Q$5:$Q$505,MATCH(1,INDEX(('Spending by Category'!$B$5:$B$505=$B26)*('Spending by Category'!$D$5:$D$505=$D26),0),0))),"")</f>
        <v/>
      </c>
      <c r="R26" s="14">
        <f>IFERROR(IF(INDEX('Spending by Category'!$R$5:$R$505,MATCH(1,INDEX(('Spending by Category'!$B$5:$B$505=$B26)*('Spending by Category'!$D$5:$D$505=$D26),0),0))="","",INDEX('Spending by Category'!$R$5:$R$505,MATCH(1,INDEX(('Spending by Category'!$B$5:$B$505=$B26)*('Spending by Category'!$D$5:$D$505=$D26),0),0))),"")</f>
        <v>1.0000000000000009</v>
      </c>
      <c r="S26" s="14">
        <f>IFERROR(IF(INDEX('Spending by Category'!$Z$5:$Z$505,MATCH(1,INDEX(('Spending by Category'!$B$5:$B$505=$B26)*('Spending by Category'!$D$5:$D$505=$D26),0),0))="","",INDEX('Spending by Category'!$Z$5:$Z$505,MATCH(1,INDEX(('Spending by Category'!$B$5:$B$505=$B26)*('Spending by Category'!$D$5:$D$505=$D26),0),0))),"")</f>
        <v>8.6511554700000007E-2</v>
      </c>
    </row>
    <row r="27" spans="1:19" x14ac:dyDescent="0.2">
      <c r="A27" s="6" t="s">
        <v>104</v>
      </c>
      <c r="B27" s="6" t="s">
        <v>105</v>
      </c>
      <c r="C27" s="6"/>
      <c r="D27" s="15" t="str">
        <f>TEXT(SUMPRODUCT(MAX(('Spending by Category'!$B$5:$B$505=$B27)*('Spending by Category'!$D$5:$D$505+0))),"0")</f>
        <v>2024</v>
      </c>
      <c r="E27" s="15" t="str">
        <f>INDEX('Spending by Category'!$E$5:$E$505,MATCH(1,INDEX(('Spending by Category'!$B$5:$B$505=$B27)*('Spending by Category'!$D$5:$D$505=$D27),0),0))</f>
        <v>General government</v>
      </c>
      <c r="F27" s="14">
        <f>IFERROR(IF(INDEX('Spending by Category'!$F$5:$F$505,MATCH(1,INDEX(('Spending by Category'!$B$5:$B$505=$B27)*('Spending by Category'!$D$5:$D$505=$D27),0),0))="","",INDEX('Spending by Category'!$F$5:$F$505,MATCH(1,INDEX(('Spending by Category'!$B$5:$B$505=$B27)*('Spending by Category'!$D$5:$D$505=$D27),0),0))),"")</f>
        <v>8.0987159277740653E-2</v>
      </c>
      <c r="G27" s="14">
        <f>IFERROR(IF(INDEX('Spending by Category'!$G$5:$G$505,MATCH(1,INDEX(('Spending by Category'!$B$5:$B$505=$B27)*('Spending by Category'!$D$5:$D$505=$D27),0),0))="","",INDEX('Spending by Category'!$G$5:$G$505,MATCH(1,INDEX(('Spending by Category'!$B$5:$B$505=$B27)*('Spending by Category'!$D$5:$D$505=$D27),0),0))),"")</f>
        <v>2.7292469801897042E-2</v>
      </c>
      <c r="H27" s="14">
        <f>IFERROR(IF(INDEX('Spending by Category'!$H$5:$H$505,MATCH(1,INDEX(('Spending by Category'!$B$5:$B$505=$B27)*('Spending by Category'!$D$5:$D$505=$D27),0),0))="","",INDEX('Spending by Category'!$H$5:$H$505,MATCH(1,INDEX(('Spending by Category'!$B$5:$B$505=$B27)*('Spending by Category'!$D$5:$D$505=$D27),0),0))),"")</f>
        <v>0.11582641244015469</v>
      </c>
      <c r="I27" s="14">
        <f>IFERROR(IF(INDEX('Spending by Category'!$I$5:$I$505,MATCH(1,INDEX(('Spending by Category'!$B$5:$B$505=$B27)*('Spending by Category'!$D$5:$D$505=$D27),0),0))="","",INDEX('Spending by Category'!$I$5:$I$505,MATCH(1,INDEX(('Spending by Category'!$B$5:$B$505=$B27)*('Spending by Category'!$D$5:$D$505=$D27),0),0))),"")</f>
        <v>0</v>
      </c>
      <c r="J27" s="14">
        <f>IFERROR(IF(INDEX('Spending by Category'!$J$5:$J$505,MATCH(1,INDEX(('Spending by Category'!$B$5:$B$505=$B27)*('Spending by Category'!$D$5:$D$505=$D27),0),0))="","",INDEX('Spending by Category'!$J$5:$J$505,MATCH(1,INDEX(('Spending by Category'!$B$5:$B$505=$B27)*('Spending by Category'!$D$5:$D$505=$D27),0),0))),"")</f>
        <v>0.16863201832269839</v>
      </c>
      <c r="K27" s="14">
        <f>IFERROR(IF(INDEX('Spending by Category'!$K$5:$K$505,MATCH(1,INDEX(('Spending by Category'!$B$5:$B$505=$B27)*('Spending by Category'!$D$5:$D$505=$D27),0),0))="","",INDEX('Spending by Category'!$K$5:$K$505,MATCH(1,INDEX(('Spending by Category'!$B$5:$B$505=$B27)*('Spending by Category'!$D$5:$D$505=$D27),0),0))),"")</f>
        <v>7.6072794381772642E-3</v>
      </c>
      <c r="L27" s="14">
        <f>IFERROR(IF(INDEX('Spending by Category'!$L$5:$L$505,MATCH(1,INDEX(('Spending by Category'!$B$5:$B$505=$B27)*('Spending by Category'!$D$5:$D$505=$D27),0),0))="","",INDEX('Spending by Category'!$L$5:$L$505,MATCH(1,INDEX(('Spending by Category'!$B$5:$B$505=$B27)*('Spending by Category'!$D$5:$D$505=$D27),0),0))),"")</f>
        <v>6.7156212824382597E-2</v>
      </c>
      <c r="M27" s="16">
        <f>IFERROR(IF(INDEX('Spending by Category'!$M$5:$M$505,MATCH(1,INDEX(('Spending by Category'!$B$5:$B$505=$B27)*('Spending by Category'!$D$5:$D$505=$D27),0),0))="","",INDEX('Spending by Category'!$M$5:$M$505,MATCH(1,INDEX(('Spending by Category'!$B$5:$B$505=$B27)*('Spending by Category'!$D$5:$D$505=$D27),0),0))),"")</f>
        <v>8.5025681771966968E-2</v>
      </c>
      <c r="N27" s="14">
        <f>IFERROR(IF(INDEX('Spending by Category'!$N$5:$N$505,MATCH(1,INDEX(('Spending by Category'!$B$5:$B$505=$B27)*('Spending by Category'!$D$5:$D$505=$D27),0),0))="","",INDEX('Spending by Category'!$N$5:$N$505,MATCH(1,INDEX(('Spending by Category'!$B$5:$B$505=$B27)*('Spending by Category'!$D$5:$D$505=$D27),0),0))),"")</f>
        <v>2.3685114886881339E-2</v>
      </c>
      <c r="O27" s="14">
        <f>IFERROR(IF(INDEX('Spending by Category'!$O$5:$O$505,MATCH(1,INDEX(('Spending by Category'!$B$5:$B$505=$B27)*('Spending by Category'!$D$5:$D$505=$D27),0),0))="","",INDEX('Spending by Category'!$O$5:$O$505,MATCH(1,INDEX(('Spending by Category'!$B$5:$B$505=$B27)*('Spending by Category'!$D$5:$D$505=$D27),0),0))),"")</f>
        <v>0.17192217814040131</v>
      </c>
      <c r="P27" s="14">
        <f>IFERROR(IF(INDEX('Spending by Category'!$P$5:$P$505,MATCH(1,INDEX(('Spending by Category'!$B$5:$B$505=$B27)*('Spending by Category'!$D$5:$D$505=$D27),0),0))="","",INDEX('Spending by Category'!$P$5:$P$505,MATCH(1,INDEX(('Spending by Category'!$B$5:$B$505=$B27)*('Spending by Category'!$D$5:$D$505=$D27),0),0))),"")</f>
        <v>0.25186547309569968</v>
      </c>
      <c r="Q27" s="14" t="str">
        <f>IFERROR(IF(INDEX('Spending by Category'!$Q$5:$Q$505,MATCH(1,INDEX(('Spending by Category'!$B$5:$B$505=$B27)*('Spending by Category'!$D$5:$D$505=$D27),0),0))="","",INDEX('Spending by Category'!$Q$5:$Q$505,MATCH(1,INDEX(('Spending by Category'!$B$5:$B$505=$B27)*('Spending by Category'!$D$5:$D$505=$D27),0),0))),"")</f>
        <v/>
      </c>
      <c r="R27" s="14">
        <f>IFERROR(IF(INDEX('Spending by Category'!$R$5:$R$505,MATCH(1,INDEX(('Spending by Category'!$B$5:$B$505=$B27)*('Spending by Category'!$D$5:$D$505=$D27),0),0))="","",INDEX('Spending by Category'!$R$5:$R$505,MATCH(1,INDEX(('Spending by Category'!$B$5:$B$505=$B27)*('Spending by Category'!$D$5:$D$505=$D27),0),0))),"")</f>
        <v>1</v>
      </c>
      <c r="S27" s="14" t="str">
        <f>IFERROR(IF(INDEX('Spending by Category'!$Z$5:$Z$505,MATCH(1,INDEX(('Spending by Category'!$B$5:$B$505=$B27)*('Spending by Category'!$D$5:$D$505=$D27),0),0))="","",INDEX('Spending by Category'!$Z$5:$Z$505,MATCH(1,INDEX(('Spending by Category'!$B$5:$B$505=$B27)*('Spending by Category'!$D$5:$D$505=$D27),0),0))),"")</f>
        <v/>
      </c>
    </row>
    <row r="28" spans="1:19" x14ac:dyDescent="0.2">
      <c r="A28" s="6" t="s">
        <v>110</v>
      </c>
      <c r="B28" s="6" t="s">
        <v>111</v>
      </c>
      <c r="C28" s="6" t="s">
        <v>49</v>
      </c>
      <c r="D28" s="15" t="str">
        <f>TEXT(SUMPRODUCT(MAX(('Spending by Category'!$B$5:$B$505=$B28)*('Spending by Category'!$D$5:$D$505+0))),"0")</f>
        <v>2013</v>
      </c>
      <c r="E28" s="15" t="str">
        <f>INDEX('Spending by Category'!$E$5:$E$505,MATCH(1,INDEX(('Spending by Category'!$B$5:$B$505=$B28)*('Spending by Category'!$D$5:$D$505=$D28),0),0))</f>
        <v>Central government (budgetary)</v>
      </c>
      <c r="F28" s="14">
        <f>IFERROR(IF(INDEX('Spending by Category'!$F$5:$F$505,MATCH(1,INDEX(('Spending by Category'!$B$5:$B$505=$B28)*('Spending by Category'!$D$5:$D$505=$D28),0),0))="","",INDEX('Spending by Category'!$F$5:$F$505,MATCH(1,INDEX(('Spending by Category'!$B$5:$B$505=$B28)*('Spending by Category'!$D$5:$D$505=$D28),0),0))),"")</f>
        <v>0.31419372559599301</v>
      </c>
      <c r="G28" s="14" t="str">
        <f>IFERROR(IF(INDEX('Spending by Category'!$G$5:$G$505,MATCH(1,INDEX(('Spending by Category'!$B$5:$B$505=$B28)*('Spending by Category'!$D$5:$D$505=$D28),0),0))="","",INDEX('Spending by Category'!$G$5:$G$505,MATCH(1,INDEX(('Spending by Category'!$B$5:$B$505=$B28)*('Spending by Category'!$D$5:$D$505=$D28),0),0))),"")</f>
        <v/>
      </c>
      <c r="H28" s="14">
        <f>IFERROR(IF(INDEX('Spending by Category'!$H$5:$H$505,MATCH(1,INDEX(('Spending by Category'!$B$5:$B$505=$B28)*('Spending by Category'!$D$5:$D$505=$D28),0),0))="","",INDEX('Spending by Category'!$H$5:$H$505,MATCH(1,INDEX(('Spending by Category'!$B$5:$B$505=$B28)*('Spending by Category'!$D$5:$D$505=$D28),0),0))),"")</f>
        <v>2.7631715052891401E-2</v>
      </c>
      <c r="I28" s="14">
        <f>IFERROR(IF(INDEX('Spending by Category'!$I$5:$I$505,MATCH(1,INDEX(('Spending by Category'!$B$5:$B$505=$B28)*('Spending by Category'!$D$5:$D$505=$D28),0),0))="","",INDEX('Spending by Category'!$I$5:$I$505,MATCH(1,INDEX(('Spending by Category'!$B$5:$B$505=$B28)*('Spending by Category'!$D$5:$D$505=$D28),0),0))),"")</f>
        <v>0.116976372698955</v>
      </c>
      <c r="J28" s="14" t="str">
        <f>IFERROR(IF(INDEX('Spending by Category'!$J$5:$J$505,MATCH(1,INDEX(('Spending by Category'!$B$5:$B$505=$B28)*('Spending by Category'!$D$5:$D$505=$D28),0),0))="","",INDEX('Spending by Category'!$J$5:$J$505,MATCH(1,INDEX(('Spending by Category'!$B$5:$B$505=$B28)*('Spending by Category'!$D$5:$D$505=$D28),0),0))),"")</f>
        <v/>
      </c>
      <c r="K28" s="14">
        <f>IFERROR(IF(INDEX('Spending by Category'!$K$5:$K$505,MATCH(1,INDEX(('Spending by Category'!$B$5:$B$505=$B28)*('Spending by Category'!$D$5:$D$505=$D28),0),0))="","",INDEX('Spending by Category'!$K$5:$K$505,MATCH(1,INDEX(('Spending by Category'!$B$5:$B$505=$B28)*('Spending by Category'!$D$5:$D$505=$D28),0),0))),"")</f>
        <v>1.0548624837287499E-2</v>
      </c>
      <c r="L28" s="14">
        <f>IFERROR(IF(INDEX('Spending by Category'!$L$5:$L$505,MATCH(1,INDEX(('Spending by Category'!$B$5:$B$505=$B28)*('Spending by Category'!$D$5:$D$505=$D28),0),0))="","",INDEX('Spending by Category'!$L$5:$L$505,MATCH(1,INDEX(('Spending by Category'!$B$5:$B$505=$B28)*('Spending by Category'!$D$5:$D$505=$D28),0),0))),"")</f>
        <v>2.60774079855585E-2</v>
      </c>
      <c r="M28" s="16">
        <f>IFERROR(IF(INDEX('Spending by Category'!$M$5:$M$505,MATCH(1,INDEX(('Spending by Category'!$B$5:$B$505=$B28)*('Spending by Category'!$D$5:$D$505=$D28),0),0))="","",INDEX('Spending by Category'!$M$5:$M$505,MATCH(1,INDEX(('Spending by Category'!$B$5:$B$505=$B28)*('Spending by Category'!$D$5:$D$505=$D28),0),0))),"")</f>
        <v>0.102098902198518</v>
      </c>
      <c r="N28" s="14" t="str">
        <f>IFERROR(IF(INDEX('Spending by Category'!$N$5:$N$505,MATCH(1,INDEX(('Spending by Category'!$B$5:$B$505=$B28)*('Spending by Category'!$D$5:$D$505=$D28),0),0))="","",INDEX('Spending by Category'!$N$5:$N$505,MATCH(1,INDEX(('Spending by Category'!$B$5:$B$505=$B28)*('Spending by Category'!$D$5:$D$505=$D28),0),0))),"")</f>
        <v/>
      </c>
      <c r="O28" s="14">
        <f>IFERROR(IF(INDEX('Spending by Category'!$O$5:$O$505,MATCH(1,INDEX(('Spending by Category'!$B$5:$B$505=$B28)*('Spending by Category'!$D$5:$D$505=$D28),0),0))="","",INDEX('Spending by Category'!$O$5:$O$505,MATCH(1,INDEX(('Spending by Category'!$B$5:$B$505=$B28)*('Spending by Category'!$D$5:$D$505=$D28),0),0))),"")</f>
        <v>0.13243213980940999</v>
      </c>
      <c r="P28" s="14">
        <f>IFERROR(IF(INDEX('Spending by Category'!$P$5:$P$505,MATCH(1,INDEX(('Spending by Category'!$B$5:$B$505=$B28)*('Spending by Category'!$D$5:$D$505=$D28),0),0))="","",INDEX('Spending by Category'!$P$5:$P$505,MATCH(1,INDEX(('Spending by Category'!$B$5:$B$505=$B28)*('Spending by Category'!$D$5:$D$505=$D28),0),0))),"")</f>
        <v>1.56993890665083E-2</v>
      </c>
      <c r="Q28" s="14">
        <f>IFERROR(IF(INDEX('Spending by Category'!$Q$5:$Q$505,MATCH(1,INDEX(('Spending by Category'!$B$5:$B$505=$B28)*('Spending by Category'!$D$5:$D$505=$D28),0),0))="","",INDEX('Spending by Category'!$Q$5:$Q$505,MATCH(1,INDEX(('Spending by Category'!$B$5:$B$505=$B28)*('Spending by Category'!$D$5:$D$505=$D28),0),0))),"")</f>
        <v>0.25434172275487832</v>
      </c>
      <c r="R28" s="14">
        <f>IFERROR(IF(INDEX('Spending by Category'!$R$5:$R$505,MATCH(1,INDEX(('Spending by Category'!$B$5:$B$505=$B28)*('Spending by Category'!$D$5:$D$505=$D28),0),0))="","",INDEX('Spending by Category'!$R$5:$R$505,MATCH(1,INDEX(('Spending by Category'!$B$5:$B$505=$B28)*('Spending by Category'!$D$5:$D$505=$D28),0),0))),"")</f>
        <v>1</v>
      </c>
      <c r="S28" s="14">
        <f>IFERROR(IF(INDEX('Spending by Category'!$Z$5:$Z$505,MATCH(1,INDEX(('Spending by Category'!$B$5:$B$505=$B28)*('Spending by Category'!$D$5:$D$505=$D28),0),0))="","",INDEX('Spending by Category'!$Z$5:$Z$505,MATCH(1,INDEX(('Spending by Category'!$B$5:$B$505=$B28)*('Spending by Category'!$D$5:$D$505=$D28),0),0))),"")</f>
        <v>1.1572529099999999E-2</v>
      </c>
    </row>
    <row r="29" spans="1:19" x14ac:dyDescent="0.2">
      <c r="A29" s="6" t="s">
        <v>114</v>
      </c>
      <c r="B29" s="6" t="s">
        <v>115</v>
      </c>
      <c r="C29" s="6" t="s">
        <v>49</v>
      </c>
      <c r="D29" s="15" t="str">
        <f>TEXT(SUMPRODUCT(MAX(('Spending by Category'!$B$5:$B$505=$B29)*('Spending by Category'!$D$5:$D$505+0))),"0")</f>
        <v>2024</v>
      </c>
      <c r="E29" s="15" t="str">
        <f>INDEX('Spending by Category'!$E$5:$E$505,MATCH(1,INDEX(('Spending by Category'!$B$5:$B$505=$B29)*('Spending by Category'!$D$5:$D$505=$D29),0),0))</f>
        <v>Central government (budgetary)</v>
      </c>
      <c r="F29" s="14">
        <f>IFERROR(IF(INDEX('Spending by Category'!$F$5:$F$505,MATCH(1,INDEX(('Spending by Category'!$B$5:$B$505=$B29)*('Spending by Category'!$D$5:$D$505=$D29),0),0))="","",INDEX('Spending by Category'!$F$5:$F$505,MATCH(1,INDEX(('Spending by Category'!$B$5:$B$505=$B29)*('Spending by Category'!$D$5:$D$505=$D29),0),0))),"")</f>
        <v>0.2238706642325336</v>
      </c>
      <c r="G29" s="14">
        <f>IFERROR(IF(INDEX('Spending by Category'!$G$5:$G$505,MATCH(1,INDEX(('Spending by Category'!$B$5:$B$505=$B29)*('Spending by Category'!$D$5:$D$505=$D29),0),0))="","",INDEX('Spending by Category'!$G$5:$G$505,MATCH(1,INDEX(('Spending by Category'!$B$5:$B$505=$B29)*('Spending by Category'!$D$5:$D$505=$D29),0),0))),"")</f>
        <v>4.2585281279639481E-2</v>
      </c>
      <c r="H29" s="14">
        <f>IFERROR(IF(INDEX('Spending by Category'!$H$5:$H$505,MATCH(1,INDEX(('Spending by Category'!$B$5:$B$505=$B29)*('Spending by Category'!$D$5:$D$505=$D29),0),0))="","",INDEX('Spending by Category'!$H$5:$H$505,MATCH(1,INDEX(('Spending by Category'!$B$5:$B$505=$B29)*('Spending by Category'!$D$5:$D$505=$D29),0),0))),"")</f>
        <v>6.9429568059306876E-2</v>
      </c>
      <c r="I29" s="14">
        <f>IFERROR(IF(INDEX('Spending by Category'!$I$5:$I$505,MATCH(1,INDEX(('Spending by Category'!$B$5:$B$505=$B29)*('Spending by Category'!$D$5:$D$505=$D29),0),0))="","",INDEX('Spending by Category'!$I$5:$I$505,MATCH(1,INDEX(('Spending by Category'!$B$5:$B$505=$B29)*('Spending by Category'!$D$5:$D$505=$D29),0),0))),"")</f>
        <v>3.4773591533148178E-2</v>
      </c>
      <c r="J29" s="14">
        <f>IFERROR(IF(INDEX('Spending by Category'!$J$5:$J$505,MATCH(1,INDEX(('Spending by Category'!$B$5:$B$505=$B29)*('Spending by Category'!$D$5:$D$505=$D29),0),0))="","",INDEX('Spending by Category'!$J$5:$J$505,MATCH(1,INDEX(('Spending by Category'!$B$5:$B$505=$B29)*('Spending by Category'!$D$5:$D$505=$D29),0),0))),"")</f>
        <v>0.210066304675779</v>
      </c>
      <c r="K29" s="14">
        <f>IFERROR(IF(INDEX('Spending by Category'!$K$5:$K$505,MATCH(1,INDEX(('Spending by Category'!$B$5:$B$505=$B29)*('Spending by Category'!$D$5:$D$505=$D29),0),0))="","",INDEX('Spending by Category'!$K$5:$K$505,MATCH(1,INDEX(('Spending by Category'!$B$5:$B$505=$B29)*('Spending by Category'!$D$5:$D$505=$D29),0),0))),"")</f>
        <v>3.9022260511910232E-3</v>
      </c>
      <c r="L29" s="14">
        <f>IFERROR(IF(INDEX('Spending by Category'!$L$5:$L$505,MATCH(1,INDEX(('Spending by Category'!$B$5:$B$505=$B29)*('Spending by Category'!$D$5:$D$505=$D29),0),0))="","",INDEX('Spending by Category'!$L$5:$L$505,MATCH(1,INDEX(('Spending by Category'!$B$5:$B$505=$B29)*('Spending by Category'!$D$5:$D$505=$D29),0),0))),"")</f>
        <v>2.2912299853054721E-2</v>
      </c>
      <c r="M29" s="16">
        <f>IFERROR(IF(INDEX('Spending by Category'!$M$5:$M$505,MATCH(1,INDEX(('Spending by Category'!$B$5:$B$505=$B29)*('Spending by Category'!$D$5:$D$505=$D29),0),0))="","",INDEX('Spending by Category'!$M$5:$M$505,MATCH(1,INDEX(('Spending by Category'!$B$5:$B$505=$B29)*('Spending by Category'!$D$5:$D$505=$D29),0),0))),"")</f>
        <v>3.66143860982793E-2</v>
      </c>
      <c r="N29" s="14">
        <f>IFERROR(IF(INDEX('Spending by Category'!$N$5:$N$505,MATCH(1,INDEX(('Spending by Category'!$B$5:$B$505=$B29)*('Spending by Category'!$D$5:$D$505=$D29),0),0))="","",INDEX('Spending by Category'!$N$5:$N$505,MATCH(1,INDEX(('Spending by Category'!$B$5:$B$505=$B29)*('Spending by Category'!$D$5:$D$505=$D29),0),0))),"")</f>
        <v>1.087588361186821E-2</v>
      </c>
      <c r="O29" s="14">
        <f>IFERROR(IF(INDEX('Spending by Category'!$O$5:$O$505,MATCH(1,INDEX(('Spending by Category'!$B$5:$B$505=$B29)*('Spending by Category'!$D$5:$D$505=$D29),0),0))="","",INDEX('Spending by Category'!$O$5:$O$505,MATCH(1,INDEX(('Spending by Category'!$B$5:$B$505=$B29)*('Spending by Category'!$D$5:$D$505=$D29),0),0))),"")</f>
        <v>0.1361303615999373</v>
      </c>
      <c r="P29" s="14">
        <f>IFERROR(IF(INDEX('Spending by Category'!$P$5:$P$505,MATCH(1,INDEX(('Spending by Category'!$B$5:$B$505=$B29)*('Spending by Category'!$D$5:$D$505=$D29),0),0))="","",INDEX('Spending by Category'!$P$5:$P$505,MATCH(1,INDEX(('Spending by Category'!$B$5:$B$505=$B29)*('Spending by Category'!$D$5:$D$505=$D29),0),0))),"")</f>
        <v>0.20883943300525859</v>
      </c>
      <c r="Q29" s="14" t="str">
        <f>IFERROR(IF(INDEX('Spending by Category'!$Q$5:$Q$505,MATCH(1,INDEX(('Spending by Category'!$B$5:$B$505=$B29)*('Spending by Category'!$D$5:$D$505=$D29),0),0))="","",INDEX('Spending by Category'!$Q$5:$Q$505,MATCH(1,INDEX(('Spending by Category'!$B$5:$B$505=$B29)*('Spending by Category'!$D$5:$D$505=$D29),0),0))),"")</f>
        <v/>
      </c>
      <c r="R29" s="14">
        <f>IFERROR(IF(INDEX('Spending by Category'!$R$5:$R$505,MATCH(1,INDEX(('Spending by Category'!$B$5:$B$505=$B29)*('Spending by Category'!$D$5:$D$505=$D29),0),0))="","",INDEX('Spending by Category'!$R$5:$R$505,MATCH(1,INDEX(('Spending by Category'!$B$5:$B$505=$B29)*('Spending by Category'!$D$5:$D$505=$D29),0),0))),"")</f>
        <v>0.99999999999999645</v>
      </c>
      <c r="S29" s="14" t="str">
        <f>IFERROR(IF(INDEX('Spending by Category'!$Z$5:$Z$505,MATCH(1,INDEX(('Spending by Category'!$B$5:$B$505=$B29)*('Spending by Category'!$D$5:$D$505=$D29),0),0))="","",INDEX('Spending by Category'!$Z$5:$Z$505,MATCH(1,INDEX(('Spending by Category'!$B$5:$B$505=$B29)*('Spending by Category'!$D$5:$D$505=$D29),0),0))),"")</f>
        <v/>
      </c>
    </row>
    <row r="30" spans="1:19" x14ac:dyDescent="0.2">
      <c r="A30" s="6" t="s">
        <v>120</v>
      </c>
      <c r="B30" s="6" t="s">
        <v>121</v>
      </c>
      <c r="C30" s="6"/>
      <c r="D30" s="15" t="str">
        <f>TEXT(SUMPRODUCT(MAX(('Spending by Category'!$B$5:$B$505=$B30)*('Spending by Category'!$D$5:$D$505+0))),"0")</f>
        <v>2025</v>
      </c>
      <c r="E30" s="15" t="str">
        <f>INDEX('Spending by Category'!$E$5:$E$505,MATCH(1,INDEX(('Spending by Category'!$B$5:$B$505=$B30)*('Spending by Category'!$D$5:$D$505=$D30),0),0))</f>
        <v>General government</v>
      </c>
      <c r="F30" s="14">
        <f>IFERROR(IF(INDEX('Spending by Category'!$F$5:$F$505,MATCH(1,INDEX(('Spending by Category'!$B$5:$B$505=$B30)*('Spending by Category'!$D$5:$D$505=$D30),0),0))="","",INDEX('Spending by Category'!$F$5:$F$505,MATCH(1,INDEX(('Spending by Category'!$B$5:$B$505=$B30)*('Spending by Category'!$D$5:$D$505=$D30),0),0))),"")</f>
        <v>0.16193402189412351</v>
      </c>
      <c r="G30" s="14">
        <f>IFERROR(IF(INDEX('Spending by Category'!$G$5:$G$505,MATCH(1,INDEX(('Spending by Category'!$B$5:$B$505=$B30)*('Spending by Category'!$D$5:$D$505=$D30),0),0))="","",INDEX('Spending by Category'!$G$5:$G$505,MATCH(1,INDEX(('Spending by Category'!$B$5:$B$505=$B30)*('Spending by Category'!$D$5:$D$505=$D30),0),0))),"")</f>
        <v>6.9812586064913765E-2</v>
      </c>
      <c r="H30" s="14">
        <f>IFERROR(IF(INDEX('Spending by Category'!$H$5:$H$505,MATCH(1,INDEX(('Spending by Category'!$B$5:$B$505=$B30)*('Spending by Category'!$D$5:$D$505=$D30),0),0))="","",INDEX('Spending by Category'!$H$5:$H$505,MATCH(1,INDEX(('Spending by Category'!$B$5:$B$505=$B30)*('Spending by Category'!$D$5:$D$505=$D30),0),0))),"")</f>
        <v>3.3862606315697009E-3</v>
      </c>
      <c r="I30" s="14">
        <f>IFERROR(IF(INDEX('Spending by Category'!$I$5:$I$505,MATCH(1,INDEX(('Spending by Category'!$B$5:$B$505=$B30)*('Spending by Category'!$D$5:$D$505=$D30),0),0))="","",INDEX('Spending by Category'!$I$5:$I$505,MATCH(1,INDEX(('Spending by Category'!$B$5:$B$505=$B30)*('Spending by Category'!$D$5:$D$505=$D30),0),0))),"")</f>
        <v>6.1633527113284341E-2</v>
      </c>
      <c r="J30" s="14">
        <f>IFERROR(IF(INDEX('Spending by Category'!$J$5:$J$505,MATCH(1,INDEX(('Spending by Category'!$B$5:$B$505=$B30)*('Spending by Category'!$D$5:$D$505=$D30),0),0))="","",INDEX('Spending by Category'!$J$5:$J$505,MATCH(1,INDEX(('Spending by Category'!$B$5:$B$505=$B30)*('Spending by Category'!$D$5:$D$505=$D30),0),0))),"")</f>
        <v>8.4770151835124305E-2</v>
      </c>
      <c r="K30" s="14">
        <f>IFERROR(IF(INDEX('Spending by Category'!$K$5:$K$505,MATCH(1,INDEX(('Spending by Category'!$B$5:$B$505=$B30)*('Spending by Category'!$D$5:$D$505=$D30),0),0))="","",INDEX('Spending by Category'!$K$5:$K$505,MATCH(1,INDEX(('Spending by Category'!$B$5:$B$505=$B30)*('Spending by Category'!$D$5:$D$505=$D30),0),0))),"")</f>
        <v>2.4264362072877931E-2</v>
      </c>
      <c r="L30" s="14">
        <f>IFERROR(IF(INDEX('Spending by Category'!$L$5:$L$505,MATCH(1,INDEX(('Spending by Category'!$B$5:$B$505=$B30)*('Spending by Category'!$D$5:$D$505=$D30),0),0))="","",INDEX('Spending by Category'!$L$5:$L$505,MATCH(1,INDEX(('Spending by Category'!$B$5:$B$505=$B30)*('Spending by Category'!$D$5:$D$505=$D30),0),0))),"")</f>
        <v>1.5820417434046791E-2</v>
      </c>
      <c r="M30" s="16">
        <f>IFERROR(IF(INDEX('Spending by Category'!$M$5:$M$505,MATCH(1,INDEX(('Spending by Category'!$B$5:$B$505=$B30)*('Spending by Category'!$D$5:$D$505=$D30),0),0))="","",INDEX('Spending by Category'!$M$5:$M$505,MATCH(1,INDEX(('Spending by Category'!$B$5:$B$505=$B30)*('Spending by Category'!$D$5:$D$505=$D30),0),0))),"")</f>
        <v>7.5616184244063481E-2</v>
      </c>
      <c r="N30" s="14">
        <f>IFERROR(IF(INDEX('Spending by Category'!$N$5:$N$505,MATCH(1,INDEX(('Spending by Category'!$B$5:$B$505=$B30)*('Spending by Category'!$D$5:$D$505=$D30),0),0))="","",INDEX('Spending by Category'!$N$5:$N$505,MATCH(1,INDEX(('Spending by Category'!$B$5:$B$505=$B30)*('Spending by Category'!$D$5:$D$505=$D30),0),0))),"")</f>
        <v>1.054054909524786E-2</v>
      </c>
      <c r="O30" s="14">
        <f>IFERROR(IF(INDEX('Spending by Category'!$O$5:$O$505,MATCH(1,INDEX(('Spending by Category'!$B$5:$B$505=$B30)*('Spending by Category'!$D$5:$D$505=$D30),0),0))="","",INDEX('Spending by Category'!$O$5:$O$505,MATCH(1,INDEX(('Spending by Category'!$B$5:$B$505=$B30)*('Spending by Category'!$D$5:$D$505=$D30),0),0))),"")</f>
        <v>0.10314590663704511</v>
      </c>
      <c r="P30" s="14">
        <f>IFERROR(IF(INDEX('Spending by Category'!$P$5:$P$505,MATCH(1,INDEX(('Spending by Category'!$B$5:$B$505=$B30)*('Spending by Category'!$D$5:$D$505=$D30),0),0))="","",INDEX('Spending by Category'!$P$5:$P$505,MATCH(1,INDEX(('Spending by Category'!$B$5:$B$505=$B30)*('Spending by Category'!$D$5:$D$505=$D30),0),0))),"")</f>
        <v>0.38907636225221798</v>
      </c>
      <c r="Q30" s="14" t="str">
        <f>IFERROR(IF(INDEX('Spending by Category'!$Q$5:$Q$505,MATCH(1,INDEX(('Spending by Category'!$B$5:$B$505=$B30)*('Spending by Category'!$D$5:$D$505=$D30),0),0))="","",INDEX('Spending by Category'!$Q$5:$Q$505,MATCH(1,INDEX(('Spending by Category'!$B$5:$B$505=$B30)*('Spending by Category'!$D$5:$D$505=$D30),0),0))),"")</f>
        <v/>
      </c>
      <c r="R30" s="14">
        <f>IFERROR(IF(INDEX('Spending by Category'!$R$5:$R$505,MATCH(1,INDEX(('Spending by Category'!$B$5:$B$505=$B30)*('Spending by Category'!$D$5:$D$505=$D30),0),0))="","",INDEX('Spending by Category'!$R$5:$R$505,MATCH(1,INDEX(('Spending by Category'!$B$5:$B$505=$B30)*('Spending by Category'!$D$5:$D$505=$D30),0),0))),"")</f>
        <v>1.0000003292745148</v>
      </c>
      <c r="S30" s="14" t="str">
        <f>IFERROR(IF(INDEX('Spending by Category'!$Z$5:$Z$505,MATCH(1,INDEX(('Spending by Category'!$B$5:$B$505=$B30)*('Spending by Category'!$D$5:$D$505=$D30),0),0))="","",INDEX('Spending by Category'!$Z$5:$Z$505,MATCH(1,INDEX(('Spending by Category'!$B$5:$B$505=$B30)*('Spending by Category'!$D$5:$D$505=$D30),0),0))),"")</f>
        <v/>
      </c>
    </row>
    <row r="31" spans="1:19" x14ac:dyDescent="0.2">
      <c r="A31" s="6" t="s">
        <v>122</v>
      </c>
      <c r="B31" s="6" t="s">
        <v>123</v>
      </c>
      <c r="C31" s="6"/>
      <c r="D31" s="15" t="str">
        <f>TEXT(SUMPRODUCT(MAX(('Spending by Category'!$B$5:$B$505=$B31)*('Spending by Category'!$D$5:$D$505+0))),"0")</f>
        <v>2024</v>
      </c>
      <c r="E31" s="15" t="str">
        <f>INDEX('Spending by Category'!$E$5:$E$505,MATCH(1,INDEX(('Spending by Category'!$B$5:$B$505=$B31)*('Spending by Category'!$D$5:$D$505=$D31),0),0))</f>
        <v>General government</v>
      </c>
      <c r="F31" s="14">
        <f>IFERROR(IF(INDEX('Spending by Category'!$F$5:$F$505,MATCH(1,INDEX(('Spending by Category'!$B$5:$B$505=$B31)*('Spending by Category'!$D$5:$D$505=$D31),0),0))="","",INDEX('Spending by Category'!$F$5:$F$505,MATCH(1,INDEX(('Spending by Category'!$B$5:$B$505=$B31)*('Spending by Category'!$D$5:$D$505=$D31),0),0))),"")</f>
        <v>0.2403135870191786</v>
      </c>
      <c r="G31" s="14">
        <f>IFERROR(IF(INDEX('Spending by Category'!$G$5:$G$505,MATCH(1,INDEX(('Spending by Category'!$B$5:$B$505=$B31)*('Spending by Category'!$D$5:$D$505=$D31),0),0))="","",INDEX('Spending by Category'!$G$5:$G$505,MATCH(1,INDEX(('Spending by Category'!$B$5:$B$505=$B31)*('Spending by Category'!$D$5:$D$505=$D31),0),0))),"")</f>
        <v>4.0173004932462862E-2</v>
      </c>
      <c r="H31" s="14">
        <f>IFERROR(IF(INDEX('Spending by Category'!$H$5:$H$505,MATCH(1,INDEX(('Spending by Category'!$B$5:$B$505=$B31)*('Spending by Category'!$D$5:$D$505=$D31),0),0))="","",INDEX('Spending by Category'!$H$5:$H$505,MATCH(1,INDEX(('Spending by Category'!$B$5:$B$505=$B31)*('Spending by Category'!$D$5:$D$505=$D31),0),0))),"")</f>
        <v>3.3062657843855099E-2</v>
      </c>
      <c r="I31" s="14">
        <f>IFERROR(IF(INDEX('Spending by Category'!$I$5:$I$505,MATCH(1,INDEX(('Spending by Category'!$B$5:$B$505=$B31)*('Spending by Category'!$D$5:$D$505=$D31),0),0))="","",INDEX('Spending by Category'!$I$5:$I$505,MATCH(1,INDEX(('Spending by Category'!$B$5:$B$505=$B31)*('Spending by Category'!$D$5:$D$505=$D31),0),0))),"")</f>
        <v>5.8275833356766969E-2</v>
      </c>
      <c r="J31" s="14">
        <f>IFERROR(IF(INDEX('Spending by Category'!$J$5:$J$505,MATCH(1,INDEX(('Spending by Category'!$B$5:$B$505=$B31)*('Spending by Category'!$D$5:$D$505=$D31),0),0))="","",INDEX('Spending by Category'!$J$5:$J$505,MATCH(1,INDEX(('Spending by Category'!$B$5:$B$505=$B31)*('Spending by Category'!$D$5:$D$505=$D31),0),0))),"")</f>
        <v>9.7537866323498756E-2</v>
      </c>
      <c r="K31" s="14">
        <f>IFERROR(IF(INDEX('Spending by Category'!$K$5:$K$505,MATCH(1,INDEX(('Spending by Category'!$B$5:$B$505=$B31)*('Spending by Category'!$D$5:$D$505=$D31),0),0))="","",INDEX('Spending by Category'!$K$5:$K$505,MATCH(1,INDEX(('Spending by Category'!$B$5:$B$505=$B31)*('Spending by Category'!$D$5:$D$505=$D31),0),0))),"")</f>
        <v>9.3750902373912013E-3</v>
      </c>
      <c r="L31" s="14">
        <f>IFERROR(IF(INDEX('Spending by Category'!$L$5:$L$505,MATCH(1,INDEX(('Spending by Category'!$B$5:$B$505=$B31)*('Spending by Category'!$D$5:$D$505=$D31),0),0))="","",INDEX('Spending by Category'!$L$5:$L$505,MATCH(1,INDEX(('Spending by Category'!$B$5:$B$505=$B31)*('Spending by Category'!$D$5:$D$505=$D31),0),0))),"")</f>
        <v>2.8459892882537009E-2</v>
      </c>
      <c r="M31" s="16">
        <f>IFERROR(IF(INDEX('Spending by Category'!$M$5:$M$505,MATCH(1,INDEX(('Spending by Category'!$B$5:$B$505=$B31)*('Spending by Category'!$D$5:$D$505=$D31),0),0))="","",INDEX('Spending by Category'!$M$5:$M$505,MATCH(1,INDEX(('Spending by Category'!$B$5:$B$505=$B31)*('Spending by Category'!$D$5:$D$505=$D31),0),0))),"")</f>
        <v>8.4619715749359017E-2</v>
      </c>
      <c r="N31" s="14">
        <f>IFERROR(IF(INDEX('Spending by Category'!$N$5:$N$505,MATCH(1,INDEX(('Spending by Category'!$B$5:$B$505=$B31)*('Spending by Category'!$D$5:$D$505=$D31),0),0))="","",INDEX('Spending by Category'!$N$5:$N$505,MATCH(1,INDEX(('Spending by Category'!$B$5:$B$505=$B31)*('Spending by Category'!$D$5:$D$505=$D31),0),0))),"")</f>
        <v>1.8068379734312572E-2</v>
      </c>
      <c r="O31" s="14">
        <f>IFERROR(IF(INDEX('Spending by Category'!$O$5:$O$505,MATCH(1,INDEX(('Spending by Category'!$B$5:$B$505=$B31)*('Spending by Category'!$D$5:$D$505=$D31),0),0))="","",INDEX('Spending by Category'!$O$5:$O$505,MATCH(1,INDEX(('Spending by Category'!$B$5:$B$505=$B31)*('Spending by Category'!$D$5:$D$505=$D31),0),0))),"")</f>
        <v>0.1384354196841876</v>
      </c>
      <c r="P31" s="14">
        <f>IFERROR(IF(INDEX('Spending by Category'!$P$5:$P$505,MATCH(1,INDEX(('Spending by Category'!$B$5:$B$505=$B31)*('Spending by Category'!$D$5:$D$505=$D31),0),0))="","",INDEX('Spending by Category'!$P$5:$P$505,MATCH(1,INDEX(('Spending by Category'!$B$5:$B$505=$B31)*('Spending by Category'!$D$5:$D$505=$D31),0),0))),"")</f>
        <v>0.25167855223645041</v>
      </c>
      <c r="Q31" s="14" t="str">
        <f>IFERROR(IF(INDEX('Spending by Category'!$Q$5:$Q$505,MATCH(1,INDEX(('Spending by Category'!$B$5:$B$505=$B31)*('Spending by Category'!$D$5:$D$505=$D31),0),0))="","",INDEX('Spending by Category'!$Q$5:$Q$505,MATCH(1,INDEX(('Spending by Category'!$B$5:$B$505=$B31)*('Spending by Category'!$D$5:$D$505=$D31),0),0))),"")</f>
        <v/>
      </c>
      <c r="R31" s="14">
        <f>IFERROR(IF(INDEX('Spending by Category'!$R$5:$R$505,MATCH(1,INDEX(('Spending by Category'!$B$5:$B$505=$B31)*('Spending by Category'!$D$5:$D$505=$D31),0),0))="","",INDEX('Spending by Category'!$R$5:$R$505,MATCH(1,INDEX(('Spending by Category'!$B$5:$B$505=$B31)*('Spending by Category'!$D$5:$D$505=$D31),0),0))),"")</f>
        <v>1</v>
      </c>
      <c r="S31" s="14" t="str">
        <f>IFERROR(IF(INDEX('Spending by Category'!$Z$5:$Z$505,MATCH(1,INDEX(('Spending by Category'!$B$5:$B$505=$B31)*('Spending by Category'!$D$5:$D$505=$D31),0),0))="","",INDEX('Spending by Category'!$Z$5:$Z$505,MATCH(1,INDEX(('Spending by Category'!$B$5:$B$505=$B31)*('Spending by Category'!$D$5:$D$505=$D31),0),0))),"")</f>
        <v/>
      </c>
    </row>
    <row r="32" spans="1:19" x14ac:dyDescent="0.2">
      <c r="A32" s="6" t="s">
        <v>124</v>
      </c>
      <c r="B32" s="6" t="s">
        <v>125</v>
      </c>
      <c r="C32" s="6" t="s">
        <v>49</v>
      </c>
      <c r="D32" s="15" t="str">
        <f>TEXT(SUMPRODUCT(MAX(('Spending by Category'!$B$5:$B$505=$B32)*('Spending by Category'!$D$5:$D$505+0))),"0")</f>
        <v>2024</v>
      </c>
      <c r="E32" s="15" t="str">
        <f>INDEX('Spending by Category'!$E$5:$E$505,MATCH(1,INDEX(('Spending by Category'!$B$5:$B$505=$B32)*('Spending by Category'!$D$5:$D$505=$D32),0),0))</f>
        <v>Central government (budgetary)</v>
      </c>
      <c r="F32" s="14">
        <f>IFERROR(IF(INDEX('Spending by Category'!$F$5:$F$505,MATCH(1,INDEX(('Spending by Category'!$B$5:$B$505=$B32)*('Spending by Category'!$D$5:$D$505=$D32),0),0))="","",INDEX('Spending by Category'!$F$5:$F$505,MATCH(1,INDEX(('Spending by Category'!$B$5:$B$505=$B32)*('Spending by Category'!$D$5:$D$505=$D32),0),0))),"")</f>
        <v>0.26896769132354809</v>
      </c>
      <c r="G32" s="14">
        <f>IFERROR(IF(INDEX('Spending by Category'!$G$5:$G$505,MATCH(1,INDEX(('Spending by Category'!$B$5:$B$505=$B32)*('Spending by Category'!$D$5:$D$505=$D32),0),0))="","",INDEX('Spending by Category'!$G$5:$G$505,MATCH(1,INDEX(('Spending by Category'!$B$5:$B$505=$B32)*('Spending by Category'!$D$5:$D$505=$D32),0),0))),"")</f>
        <v>0.13076352317846041</v>
      </c>
      <c r="H32" s="14">
        <f>IFERROR(IF(INDEX('Spending by Category'!$H$5:$H$505,MATCH(1,INDEX(('Spending by Category'!$B$5:$B$505=$B32)*('Spending by Category'!$D$5:$D$505=$D32),0),0))="","",INDEX('Spending by Category'!$H$5:$H$505,MATCH(1,INDEX(('Spending by Category'!$B$5:$B$505=$B32)*('Spending by Category'!$D$5:$D$505=$D32),0),0))),"")</f>
        <v>7.032033166957459E-2</v>
      </c>
      <c r="I32" s="14">
        <f>IFERROR(IF(INDEX('Spending by Category'!$I$5:$I$505,MATCH(1,INDEX(('Spending by Category'!$B$5:$B$505=$B32)*('Spending by Category'!$D$5:$D$505=$D32),0),0))="","",INDEX('Spending by Category'!$I$5:$I$505,MATCH(1,INDEX(('Spending by Category'!$B$5:$B$505=$B32)*('Spending by Category'!$D$5:$D$505=$D32),0),0))),"")</f>
        <v>0.1237251060350097</v>
      </c>
      <c r="J32" s="14">
        <f>IFERROR(IF(INDEX('Spending by Category'!$J$5:$J$505,MATCH(1,INDEX(('Spending by Category'!$B$5:$B$505=$B32)*('Spending by Category'!$D$5:$D$505=$D32),0),0))="","",INDEX('Spending by Category'!$J$5:$J$505,MATCH(1,INDEX(('Spending by Category'!$B$5:$B$505=$B32)*('Spending by Category'!$D$5:$D$505=$D32),0),0))),"")</f>
        <v>7.2096317535745025E-2</v>
      </c>
      <c r="K32" s="14">
        <f>IFERROR(IF(INDEX('Spending by Category'!$K$5:$K$505,MATCH(1,INDEX(('Spending by Category'!$B$5:$B$505=$B32)*('Spending by Category'!$D$5:$D$505=$D32),0),0))="","",INDEX('Spending by Category'!$K$5:$K$505,MATCH(1,INDEX(('Spending by Category'!$B$5:$B$505=$B32)*('Spending by Category'!$D$5:$D$505=$D32),0),0))),"")</f>
        <v>1.5010327172643461E-2</v>
      </c>
      <c r="L32" s="14">
        <f>IFERROR(IF(INDEX('Spending by Category'!$L$5:$L$505,MATCH(1,INDEX(('Spending by Category'!$B$5:$B$505=$B32)*('Spending by Category'!$D$5:$D$505=$D32),0),0))="","",INDEX('Spending by Category'!$L$5:$L$505,MATCH(1,INDEX(('Spending by Category'!$B$5:$B$505=$B32)*('Spending by Category'!$D$5:$D$505=$D32),0),0))),"")</f>
        <v>2.5552498361916458E-2</v>
      </c>
      <c r="M32" s="16">
        <f>IFERROR(IF(INDEX('Spending by Category'!$M$5:$M$505,MATCH(1,INDEX(('Spending by Category'!$B$5:$B$505=$B32)*('Spending by Category'!$D$5:$D$505=$D32),0),0))="","",INDEX('Spending by Category'!$M$5:$M$505,MATCH(1,INDEX(('Spending by Category'!$B$5:$B$505=$B32)*('Spending by Category'!$D$5:$D$505=$D32),0),0))),"")</f>
        <v>0.10230657717720287</v>
      </c>
      <c r="N32" s="14">
        <f>IFERROR(IF(INDEX('Spending by Category'!$N$5:$N$505,MATCH(1,INDEX(('Spending by Category'!$B$5:$B$505=$B32)*('Spending by Category'!$D$5:$D$505=$D32),0),0))="","",INDEX('Spending by Category'!$N$5:$N$505,MATCH(1,INDEX(('Spending by Category'!$B$5:$B$505=$B32)*('Spending by Category'!$D$5:$D$505=$D32),0),0))),"")</f>
        <v>8.2006639390886978E-3</v>
      </c>
      <c r="O32" s="14">
        <f>IFERROR(IF(INDEX('Spending by Category'!$O$5:$O$505,MATCH(1,INDEX(('Spending by Category'!$B$5:$B$505=$B32)*('Spending by Category'!$D$5:$D$505=$D32),0),0))="","",INDEX('Spending by Category'!$O$5:$O$505,MATCH(1,INDEX(('Spending by Category'!$B$5:$B$505=$B32)*('Spending by Category'!$D$5:$D$505=$D32),0),0))),"")</f>
        <v>0.1765870719362069</v>
      </c>
      <c r="P32" s="14">
        <f>IFERROR(IF(INDEX('Spending by Category'!$P$5:$P$505,MATCH(1,INDEX(('Spending by Category'!$B$5:$B$505=$B32)*('Spending by Category'!$D$5:$D$505=$D32),0),0))="","",INDEX('Spending by Category'!$P$5:$P$505,MATCH(1,INDEX(('Spending by Category'!$B$5:$B$505=$B32)*('Spending by Category'!$D$5:$D$505=$D32),0),0))),"")</f>
        <v>6.4698916706037897E-3</v>
      </c>
      <c r="Q32" s="14" t="str">
        <f>IFERROR(IF(INDEX('Spending by Category'!$Q$5:$Q$505,MATCH(1,INDEX(('Spending by Category'!$B$5:$B$505=$B32)*('Spending by Category'!$D$5:$D$505=$D32),0),0))="","",INDEX('Spending by Category'!$Q$5:$Q$505,MATCH(1,INDEX(('Spending by Category'!$B$5:$B$505=$B32)*('Spending by Category'!$D$5:$D$505=$D32),0),0))),"")</f>
        <v/>
      </c>
      <c r="R32" s="14">
        <f>IFERROR(IF(INDEX('Spending by Category'!$R$5:$R$505,MATCH(1,INDEX(('Spending by Category'!$B$5:$B$505=$B32)*('Spending by Category'!$D$5:$D$505=$D32),0),0))="","",INDEX('Spending by Category'!$R$5:$R$505,MATCH(1,INDEX(('Spending by Category'!$B$5:$B$505=$B32)*('Spending by Category'!$D$5:$D$505=$D32),0),0))),"")</f>
        <v>0.99999999999999989</v>
      </c>
      <c r="S32" s="14" t="str">
        <f>IFERROR(IF(INDEX('Spending by Category'!$Z$5:$Z$505,MATCH(1,INDEX(('Spending by Category'!$B$5:$B$505=$B32)*('Spending by Category'!$D$5:$D$505=$D32),0),0))="","",INDEX('Spending by Category'!$Z$5:$Z$505,MATCH(1,INDEX(('Spending by Category'!$B$5:$B$505=$B32)*('Spending by Category'!$D$5:$D$505=$D32),0),0))),"")</f>
        <v/>
      </c>
    </row>
    <row r="33" spans="1:19" x14ac:dyDescent="0.2">
      <c r="A33" s="6" t="s">
        <v>126</v>
      </c>
      <c r="B33" s="6" t="s">
        <v>127</v>
      </c>
      <c r="C33" s="6"/>
      <c r="D33" s="15" t="str">
        <f>TEXT(SUMPRODUCT(MAX(('Spending by Category'!$B$5:$B$505=$B33)*('Spending by Category'!$D$5:$D$505+0))),"0")</f>
        <v>2024</v>
      </c>
      <c r="E33" s="15" t="str">
        <f>INDEX('Spending by Category'!$E$5:$E$505,MATCH(1,INDEX(('Spending by Category'!$B$5:$B$505=$B33)*('Spending by Category'!$D$5:$D$505=$D33),0),0))</f>
        <v>Central government (budgetary)</v>
      </c>
      <c r="F33" s="14">
        <f>IFERROR(IF(INDEX('Spending by Category'!$F$5:$F$505,MATCH(1,INDEX(('Spending by Category'!$B$5:$B$505=$B33)*('Spending by Category'!$D$5:$D$505=$D33),0),0))="","",INDEX('Spending by Category'!$F$5:$F$505,MATCH(1,INDEX(('Spending by Category'!$B$5:$B$505=$B33)*('Spending by Category'!$D$5:$D$505=$D33),0),0))),"")</f>
        <v>0.101356694397795</v>
      </c>
      <c r="G33" s="14">
        <f>IFERROR(IF(INDEX('Spending by Category'!$G$5:$G$505,MATCH(1,INDEX(('Spending by Category'!$B$5:$B$505=$B33)*('Spending by Category'!$D$5:$D$505=$D33),0),0))="","",INDEX('Spending by Category'!$G$5:$G$505,MATCH(1,INDEX(('Spending by Category'!$B$5:$B$505=$B33)*('Spending by Category'!$D$5:$D$505=$D33),0),0))),"")</f>
        <v>0.12989559882664431</v>
      </c>
      <c r="H33" s="14">
        <f>IFERROR(IF(INDEX('Spending by Category'!$H$5:$H$505,MATCH(1,INDEX(('Spending by Category'!$B$5:$B$505=$B33)*('Spending by Category'!$D$5:$D$505=$D33),0),0))="","",INDEX('Spending by Category'!$H$5:$H$505,MATCH(1,INDEX(('Spending by Category'!$B$5:$B$505=$B33)*('Spending by Category'!$D$5:$D$505=$D33),0),0))),"")</f>
        <v>6.6255819297852792E-2</v>
      </c>
      <c r="I33" s="14">
        <f>IFERROR(IF(INDEX('Spending by Category'!$I$5:$I$505,MATCH(1,INDEX(('Spending by Category'!$B$5:$B$505=$B33)*('Spending by Category'!$D$5:$D$505=$D33),0),0))="","",INDEX('Spending by Category'!$I$5:$I$505,MATCH(1,INDEX(('Spending by Category'!$B$5:$B$505=$B33)*('Spending by Category'!$D$5:$D$505=$D33),0),0))),"")</f>
        <v>8.3917822423595634E-2</v>
      </c>
      <c r="J33" s="14">
        <f>IFERROR(IF(INDEX('Spending by Category'!$J$5:$J$505,MATCH(1,INDEX(('Spending by Category'!$B$5:$B$505=$B33)*('Spending by Category'!$D$5:$D$505=$D33),0),0))="","",INDEX('Spending by Category'!$J$5:$J$505,MATCH(1,INDEX(('Spending by Category'!$B$5:$B$505=$B33)*('Spending by Category'!$D$5:$D$505=$D33),0),0))),"")</f>
        <v>0.1009510962967093</v>
      </c>
      <c r="K33" s="14">
        <f>IFERROR(IF(INDEX('Spending by Category'!$K$5:$K$505,MATCH(1,INDEX(('Spending by Category'!$B$5:$B$505=$B33)*('Spending by Category'!$D$5:$D$505=$D33),0),0))="","",INDEX('Spending by Category'!$K$5:$K$505,MATCH(1,INDEX(('Spending by Category'!$B$5:$B$505=$B33)*('Spending by Category'!$D$5:$D$505=$D33),0),0))),"")</f>
        <v>5.4028214270562466E-3</v>
      </c>
      <c r="L33" s="14">
        <f>IFERROR(IF(INDEX('Spending by Category'!$L$5:$L$505,MATCH(1,INDEX(('Spending by Category'!$B$5:$B$505=$B33)*('Spending by Category'!$D$5:$D$505=$D33),0),0))="","",INDEX('Spending by Category'!$L$5:$L$505,MATCH(1,INDEX(('Spending by Category'!$B$5:$B$505=$B33)*('Spending by Category'!$D$5:$D$505=$D33),0),0))),"")</f>
        <v>3.8683288982185558E-2</v>
      </c>
      <c r="M33" s="16">
        <f>IFERROR(IF(INDEX('Spending by Category'!$M$5:$M$505,MATCH(1,INDEX(('Spending by Category'!$B$5:$B$505=$B33)*('Spending by Category'!$D$5:$D$505=$D33),0),0))="","",INDEX('Spending by Category'!$M$5:$M$505,MATCH(1,INDEX(('Spending by Category'!$B$5:$B$505=$B33)*('Spending by Category'!$D$5:$D$505=$D33),0),0))),"")</f>
        <v>0.10988459312851682</v>
      </c>
      <c r="N33" s="14">
        <f>IFERROR(IF(INDEX('Spending by Category'!$N$5:$N$505,MATCH(1,INDEX(('Spending by Category'!$B$5:$B$505=$B33)*('Spending by Category'!$D$5:$D$505=$D33),0),0))="","",INDEX('Spending by Category'!$N$5:$N$505,MATCH(1,INDEX(('Spending by Category'!$B$5:$B$505=$B33)*('Spending by Category'!$D$5:$D$505=$D33),0),0))),"")</f>
        <v>1.11051375698498E-2</v>
      </c>
      <c r="O33" s="14">
        <f>IFERROR(IF(INDEX('Spending by Category'!$O$5:$O$505,MATCH(1,INDEX(('Spending by Category'!$B$5:$B$505=$B33)*('Spending by Category'!$D$5:$D$505=$D33),0),0))="","",INDEX('Spending by Category'!$O$5:$O$505,MATCH(1,INDEX(('Spending by Category'!$B$5:$B$505=$B33)*('Spending by Category'!$D$5:$D$505=$D33),0),0))),"")</f>
        <v>0.23474076630435589</v>
      </c>
      <c r="P33" s="14">
        <f>IFERROR(IF(INDEX('Spending by Category'!$P$5:$P$505,MATCH(1,INDEX(('Spending by Category'!$B$5:$B$505=$B33)*('Spending by Category'!$D$5:$D$505=$D33),0),0))="","",INDEX('Spending by Category'!$P$5:$P$505,MATCH(1,INDEX(('Spending by Category'!$B$5:$B$505=$B33)*('Spending by Category'!$D$5:$D$505=$D33),0),0))),"")</f>
        <v>0.11780636134543571</v>
      </c>
      <c r="Q33" s="14" t="str">
        <f>IFERROR(IF(INDEX('Spending by Category'!$Q$5:$Q$505,MATCH(1,INDEX(('Spending by Category'!$B$5:$B$505=$B33)*('Spending by Category'!$D$5:$D$505=$D33),0),0))="","",INDEX('Spending by Category'!$Q$5:$Q$505,MATCH(1,INDEX(('Spending by Category'!$B$5:$B$505=$B33)*('Spending by Category'!$D$5:$D$505=$D33),0),0))),"")</f>
        <v/>
      </c>
      <c r="R33" s="14">
        <f>IFERROR(IF(INDEX('Spending by Category'!$R$5:$R$505,MATCH(1,INDEX(('Spending by Category'!$B$5:$B$505=$B33)*('Spending by Category'!$D$5:$D$505=$D33),0),0))="","",INDEX('Spending by Category'!$R$5:$R$505,MATCH(1,INDEX(('Spending by Category'!$B$5:$B$505=$B33)*('Spending by Category'!$D$5:$D$505=$D33),0),0))),"")</f>
        <v>0.99999999999999711</v>
      </c>
      <c r="S33" s="14" t="str">
        <f>IFERROR(IF(INDEX('Spending by Category'!$Z$5:$Z$505,MATCH(1,INDEX(('Spending by Category'!$B$5:$B$505=$B33)*('Spending by Category'!$D$5:$D$505=$D33),0),0))="","",INDEX('Spending by Category'!$Z$5:$Z$505,MATCH(1,INDEX(('Spending by Category'!$B$5:$B$505=$B33)*('Spending by Category'!$D$5:$D$505=$D33),0),0))),"")</f>
        <v/>
      </c>
    </row>
    <row r="34" spans="1:19" x14ac:dyDescent="0.2">
      <c r="A34" s="6" t="s">
        <v>128</v>
      </c>
      <c r="B34" s="6" t="s">
        <v>129</v>
      </c>
      <c r="C34" s="6"/>
      <c r="D34" s="15" t="str">
        <f>TEXT(SUMPRODUCT(MAX(('Spending by Category'!$B$5:$B$505=$B34)*('Spending by Category'!$D$5:$D$505+0))),"0")</f>
        <v>2023</v>
      </c>
      <c r="E34" s="15" t="str">
        <f>INDEX('Spending by Category'!$E$5:$E$505,MATCH(1,INDEX(('Spending by Category'!$B$5:$B$505=$B34)*('Spending by Category'!$D$5:$D$505=$D34),0),0))</f>
        <v>Central government (budgetary)</v>
      </c>
      <c r="F34" s="14">
        <f>IFERROR(IF(INDEX('Spending by Category'!$F$5:$F$505,MATCH(1,INDEX(('Spending by Category'!$B$5:$B$505=$B34)*('Spending by Category'!$D$5:$D$505=$D34),0),0))="","",INDEX('Spending by Category'!$F$5:$F$505,MATCH(1,INDEX(('Spending by Category'!$B$5:$B$505=$B34)*('Spending by Category'!$D$5:$D$505=$D34),0),0))),"")</f>
        <v>0.4071176814095695</v>
      </c>
      <c r="G34" s="14">
        <f>IFERROR(IF(INDEX('Spending by Category'!$G$5:$G$505,MATCH(1,INDEX(('Spending by Category'!$B$5:$B$505=$B34)*('Spending by Category'!$D$5:$D$505=$D34),0),0))="","",INDEX('Spending by Category'!$G$5:$G$505,MATCH(1,INDEX(('Spending by Category'!$B$5:$B$505=$B34)*('Spending by Category'!$D$5:$D$505=$D34),0),0))),"")</f>
        <v>3.8637159171707208E-2</v>
      </c>
      <c r="H34" s="14">
        <f>IFERROR(IF(INDEX('Spending by Category'!$H$5:$H$505,MATCH(1,INDEX(('Spending by Category'!$B$5:$B$505=$B34)*('Spending by Category'!$D$5:$D$505=$D34),0),0))="","",INDEX('Spending by Category'!$H$5:$H$505,MATCH(1,INDEX(('Spending by Category'!$B$5:$B$505=$B34)*('Spending by Category'!$D$5:$D$505=$D34),0),0))),"")</f>
        <v>4.5532364352068963E-2</v>
      </c>
      <c r="I34" s="14">
        <f>IFERROR(IF(INDEX('Spending by Category'!$I$5:$I$505,MATCH(1,INDEX(('Spending by Category'!$B$5:$B$505=$B34)*('Spending by Category'!$D$5:$D$505=$D34),0),0))="","",INDEX('Spending by Category'!$I$5:$I$505,MATCH(1,INDEX(('Spending by Category'!$B$5:$B$505=$B34)*('Spending by Category'!$D$5:$D$505=$D34),0),0))),"")</f>
        <v>6.1839369471031337E-2</v>
      </c>
      <c r="J34" s="14">
        <f>IFERROR(IF(INDEX('Spending by Category'!$J$5:$J$505,MATCH(1,INDEX(('Spending by Category'!$B$5:$B$505=$B34)*('Spending by Category'!$D$5:$D$505=$D34),0),0))="","",INDEX('Spending by Category'!$J$5:$J$505,MATCH(1,INDEX(('Spending by Category'!$B$5:$B$505=$B34)*('Spending by Category'!$D$5:$D$505=$D34),0),0))),"")</f>
        <v>0.16383631659484429</v>
      </c>
      <c r="K34" s="14">
        <f>IFERROR(IF(INDEX('Spending by Category'!$K$5:$K$505,MATCH(1,INDEX(('Spending by Category'!$B$5:$B$505=$B34)*('Spending by Category'!$D$5:$D$505=$D34),0),0))="","",INDEX('Spending by Category'!$K$5:$K$505,MATCH(1,INDEX(('Spending by Category'!$B$5:$B$505=$B34)*('Spending by Category'!$D$5:$D$505=$D34),0),0))),"")</f>
        <v>4.6539301200668546E-3</v>
      </c>
      <c r="L34" s="14">
        <f>IFERROR(IF(INDEX('Spending by Category'!$L$5:$L$505,MATCH(1,INDEX(('Spending by Category'!$B$5:$B$505=$B34)*('Spending by Category'!$D$5:$D$505=$D34),0),0))="","",INDEX('Spending by Category'!$L$5:$L$505,MATCH(1,INDEX(('Spending by Category'!$B$5:$B$505=$B34)*('Spending by Category'!$D$5:$D$505=$D34),0),0))),"")</f>
        <v>2.9949839964263741E-2</v>
      </c>
      <c r="M34" s="16">
        <f>IFERROR(IF(INDEX('Spending by Category'!$M$5:$M$505,MATCH(1,INDEX(('Spending by Category'!$B$5:$B$505=$B34)*('Spending by Category'!$D$5:$D$505=$D34),0),0))="","",INDEX('Spending by Category'!$M$5:$M$505,MATCH(1,INDEX(('Spending by Category'!$B$5:$B$505=$B34)*('Spending by Category'!$D$5:$D$505=$D34),0),0))),"")</f>
        <v>6.4016808311854675E-2</v>
      </c>
      <c r="N34" s="14">
        <f>IFERROR(IF(INDEX('Spending by Category'!$N$5:$N$505,MATCH(1,INDEX(('Spending by Category'!$B$5:$B$505=$B34)*('Spending by Category'!$D$5:$D$505=$D34),0),0))="","",INDEX('Spending by Category'!$N$5:$N$505,MATCH(1,INDEX(('Spending by Category'!$B$5:$B$505=$B34)*('Spending by Category'!$D$5:$D$505=$D34),0),0))),"")</f>
        <v>4.008291218955495E-3</v>
      </c>
      <c r="O34" s="14">
        <f>IFERROR(IF(INDEX('Spending by Category'!$O$5:$O$505,MATCH(1,INDEX(('Spending by Category'!$B$5:$B$505=$B34)*('Spending by Category'!$D$5:$D$505=$D34),0),0))="","",INDEX('Spending by Category'!$O$5:$O$505,MATCH(1,INDEX(('Spending by Category'!$B$5:$B$505=$B34)*('Spending by Category'!$D$5:$D$505=$D34),0),0))),"")</f>
        <v>3.6407948166913409E-2</v>
      </c>
      <c r="P34" s="14">
        <f>IFERROR(IF(INDEX('Spending by Category'!$P$5:$P$505,MATCH(1,INDEX(('Spending by Category'!$B$5:$B$505=$B34)*('Spending by Category'!$D$5:$D$505=$D34),0),0))="","",INDEX('Spending by Category'!$P$5:$P$505,MATCH(1,INDEX(('Spending by Category'!$B$5:$B$505=$B34)*('Spending by Category'!$D$5:$D$505=$D34),0),0))),"")</f>
        <v>0.1440002912187244</v>
      </c>
      <c r="Q34" s="14" t="str">
        <f>IFERROR(IF(INDEX('Spending by Category'!$Q$5:$Q$505,MATCH(1,INDEX(('Spending by Category'!$B$5:$B$505=$B34)*('Spending by Category'!$D$5:$D$505=$D34),0),0))="","",INDEX('Spending by Category'!$Q$5:$Q$505,MATCH(1,INDEX(('Spending by Category'!$B$5:$B$505=$B34)*('Spending by Category'!$D$5:$D$505=$D34),0),0))),"")</f>
        <v/>
      </c>
      <c r="R34" s="14">
        <f>IFERROR(IF(INDEX('Spending by Category'!$R$5:$R$505,MATCH(1,INDEX(('Spending by Category'!$B$5:$B$505=$B34)*('Spending by Category'!$D$5:$D$505=$D34),0),0))="","",INDEX('Spending by Category'!$R$5:$R$505,MATCH(1,INDEX(('Spending by Category'!$B$5:$B$505=$B34)*('Spending by Category'!$D$5:$D$505=$D34),0),0))),"")</f>
        <v>0.99999999999999978</v>
      </c>
      <c r="S34" s="14">
        <f>IFERROR(IF(INDEX('Spending by Category'!$Z$5:$Z$505,MATCH(1,INDEX(('Spending by Category'!$B$5:$B$505=$B34)*('Spending by Category'!$D$5:$D$505=$D34),0),0))="","",INDEX('Spending by Category'!$Z$5:$Z$505,MATCH(1,INDEX(('Spending by Category'!$B$5:$B$505=$B34)*('Spending by Category'!$D$5:$D$505=$D34),0),0))),"")</f>
        <v>7.66042948E-2</v>
      </c>
    </row>
    <row r="35" spans="1:19" x14ac:dyDescent="0.2">
      <c r="A35" s="6" t="s">
        <v>130</v>
      </c>
      <c r="B35" s="6" t="s">
        <v>131</v>
      </c>
      <c r="C35" s="6"/>
      <c r="D35" s="15" t="str">
        <f>TEXT(SUMPRODUCT(MAX(('Spending by Category'!$B$5:$B$505=$B35)*('Spending by Category'!$D$5:$D$505+0))),"0")</f>
        <v>2024</v>
      </c>
      <c r="E35" s="15" t="str">
        <f>INDEX('Spending by Category'!$E$5:$E$505,MATCH(1,INDEX(('Spending by Category'!$B$5:$B$505=$B35)*('Spending by Category'!$D$5:$D$505=$D35),0),0))</f>
        <v>Central government (budgetary)</v>
      </c>
      <c r="F35" s="14">
        <f>IFERROR(IF(INDEX('Spending by Category'!$F$5:$F$505,MATCH(1,INDEX(('Spending by Category'!$B$5:$B$505=$B35)*('Spending by Category'!$D$5:$D$505=$D35),0),0))="","",INDEX('Spending by Category'!$F$5:$F$505,MATCH(1,INDEX(('Spending by Category'!$B$5:$B$505=$B35)*('Spending by Category'!$D$5:$D$505=$D35),0),0))),"")</f>
        <v>0.1348429785468962</v>
      </c>
      <c r="G35" s="14" t="str">
        <f>IFERROR(IF(INDEX('Spending by Category'!$G$5:$G$505,MATCH(1,INDEX(('Spending by Category'!$B$5:$B$505=$B35)*('Spending by Category'!$D$5:$D$505=$D35),0),0))="","",INDEX('Spending by Category'!$G$5:$G$505,MATCH(1,INDEX(('Spending by Category'!$B$5:$B$505=$B35)*('Spending by Category'!$D$5:$D$505=$D35),0),0))),"")</f>
        <v/>
      </c>
      <c r="H35" s="14">
        <f>IFERROR(IF(INDEX('Spending by Category'!$H$5:$H$505,MATCH(1,INDEX(('Spending by Category'!$B$5:$B$505=$B35)*('Spending by Category'!$D$5:$D$505=$D35),0),0))="","",INDEX('Spending by Category'!$H$5:$H$505,MATCH(1,INDEX(('Spending by Category'!$B$5:$B$505=$B35)*('Spending by Category'!$D$5:$D$505=$D35),0),0))),"")</f>
        <v>2.8315237773798831E-2</v>
      </c>
      <c r="I35" s="14">
        <f>IFERROR(IF(INDEX('Spending by Category'!$I$5:$I$505,MATCH(1,INDEX(('Spending by Category'!$B$5:$B$505=$B35)*('Spending by Category'!$D$5:$D$505=$D35),0),0))="","",INDEX('Spending by Category'!$I$5:$I$505,MATCH(1,INDEX(('Spending by Category'!$B$5:$B$505=$B35)*('Spending by Category'!$D$5:$D$505=$D35),0),0))),"")</f>
        <v>7.8246316709105271E-2</v>
      </c>
      <c r="J35" s="14">
        <f>IFERROR(IF(INDEX('Spending by Category'!$J$5:$J$505,MATCH(1,INDEX(('Spending by Category'!$B$5:$B$505=$B35)*('Spending by Category'!$D$5:$D$505=$D35),0),0))="","",INDEX('Spending by Category'!$J$5:$J$505,MATCH(1,INDEX(('Spending by Category'!$B$5:$B$505=$B35)*('Spending by Category'!$D$5:$D$505=$D35),0),0))),"")</f>
        <v>0.21823412527127339</v>
      </c>
      <c r="K35" s="14">
        <f>IFERROR(IF(INDEX('Spending by Category'!$K$5:$K$505,MATCH(1,INDEX(('Spending by Category'!$B$5:$B$505=$B35)*('Spending by Category'!$D$5:$D$505=$D35),0),0))="","",INDEX('Spending by Category'!$K$5:$K$505,MATCH(1,INDEX(('Spending by Category'!$B$5:$B$505=$B35)*('Spending by Category'!$D$5:$D$505=$D35),0),0))),"")</f>
        <v>6.299632880051205E-3</v>
      </c>
      <c r="L35" s="14">
        <f>IFERROR(IF(INDEX('Spending by Category'!$L$5:$L$505,MATCH(1,INDEX(('Spending by Category'!$B$5:$B$505=$B35)*('Spending by Category'!$D$5:$D$505=$D35),0),0))="","",INDEX('Spending by Category'!$L$5:$L$505,MATCH(1,INDEX(('Spending by Category'!$B$5:$B$505=$B35)*('Spending by Category'!$D$5:$D$505=$D35),0),0))),"")</f>
        <v>0.1148827396986382</v>
      </c>
      <c r="M35" s="16">
        <f>IFERROR(IF(INDEX('Spending by Category'!$M$5:$M$505,MATCH(1,INDEX(('Spending by Category'!$B$5:$B$505=$B35)*('Spending by Category'!$D$5:$D$505=$D35),0),0))="","",INDEX('Spending by Category'!$M$5:$M$505,MATCH(1,INDEX(('Spending by Category'!$B$5:$B$505=$B35)*('Spending by Category'!$D$5:$D$505=$D35),0),0))),"")</f>
        <v>0.1680311215260554</v>
      </c>
      <c r="N35" s="14">
        <f>IFERROR(IF(INDEX('Spending by Category'!$N$5:$N$505,MATCH(1,INDEX(('Spending by Category'!$B$5:$B$505=$B35)*('Spending by Category'!$D$5:$D$505=$D35),0),0))="","",INDEX('Spending by Category'!$N$5:$N$505,MATCH(1,INDEX(('Spending by Category'!$B$5:$B$505=$B35)*('Spending by Category'!$D$5:$D$505=$D35),0),0))),"")</f>
        <v>1.6920169211195751E-2</v>
      </c>
      <c r="O35" s="14">
        <f>IFERROR(IF(INDEX('Spending by Category'!$O$5:$O$505,MATCH(1,INDEX(('Spending by Category'!$B$5:$B$505=$B35)*('Spending by Category'!$D$5:$D$505=$D35),0),0))="","",INDEX('Spending by Category'!$O$5:$O$505,MATCH(1,INDEX(('Spending by Category'!$B$5:$B$505=$B35)*('Spending by Category'!$D$5:$D$505=$D35),0),0))),"")</f>
        <v>0.18032138274339191</v>
      </c>
      <c r="P35" s="14">
        <f>IFERROR(IF(INDEX('Spending by Category'!$P$5:$P$505,MATCH(1,INDEX(('Spending by Category'!$B$5:$B$505=$B35)*('Spending by Category'!$D$5:$D$505=$D35),0),0))="","",INDEX('Spending by Category'!$P$5:$P$505,MATCH(1,INDEX(('Spending by Category'!$B$5:$B$505=$B35)*('Spending by Category'!$D$5:$D$505=$D35),0),0))),"")</f>
        <v>5.3906295639593808E-2</v>
      </c>
      <c r="Q35" s="14" t="str">
        <f>IFERROR(IF(INDEX('Spending by Category'!$Q$5:$Q$505,MATCH(1,INDEX(('Spending by Category'!$B$5:$B$505=$B35)*('Spending by Category'!$D$5:$D$505=$D35),0),0))="","",INDEX('Spending by Category'!$Q$5:$Q$505,MATCH(1,INDEX(('Spending by Category'!$B$5:$B$505=$B35)*('Spending by Category'!$D$5:$D$505=$D35),0),0))),"")</f>
        <v/>
      </c>
      <c r="R35" s="14">
        <f>IFERROR(IF(INDEX('Spending by Category'!$R$5:$R$505,MATCH(1,INDEX(('Spending by Category'!$B$5:$B$505=$B35)*('Spending by Category'!$D$5:$D$505=$D35),0),0))="","",INDEX('Spending by Category'!$R$5:$R$505,MATCH(1,INDEX(('Spending by Category'!$B$5:$B$505=$B35)*('Spending by Category'!$D$5:$D$505=$D35),0),0))),"")</f>
        <v>1</v>
      </c>
      <c r="S35" s="14" t="str">
        <f>IFERROR(IF(INDEX('Spending by Category'!$Z$5:$Z$505,MATCH(1,INDEX(('Spending by Category'!$B$5:$B$505=$B35)*('Spending by Category'!$D$5:$D$505=$D35),0),0))="","",INDEX('Spending by Category'!$Z$5:$Z$505,MATCH(1,INDEX(('Spending by Category'!$B$5:$B$505=$B35)*('Spending by Category'!$D$5:$D$505=$D35),0),0))),"")</f>
        <v/>
      </c>
    </row>
    <row r="36" spans="1:19" x14ac:dyDescent="0.2">
      <c r="A36" s="6" t="s">
        <v>134</v>
      </c>
      <c r="B36" s="6" t="s">
        <v>135</v>
      </c>
      <c r="C36" s="6" t="s">
        <v>49</v>
      </c>
      <c r="D36" s="15" t="str">
        <f>TEXT(SUMPRODUCT(MAX(('Spending by Category'!$B$5:$B$505=$B36)*('Spending by Category'!$D$5:$D$505+0))),"0")</f>
        <v>2013</v>
      </c>
      <c r="E36" s="15" t="str">
        <f>INDEX('Spending by Category'!$E$5:$E$505,MATCH(1,INDEX(('Spending by Category'!$B$5:$B$505=$B36)*('Spending by Category'!$D$5:$D$505=$D36),0),0))</f>
        <v>Central government (budgetary)</v>
      </c>
      <c r="F36" s="14">
        <f>IFERROR(IF(INDEX('Spending by Category'!$F$5:$F$505,MATCH(1,INDEX(('Spending by Category'!$B$5:$B$505=$B36)*('Spending by Category'!$D$5:$D$505=$D36),0),0))="","",INDEX('Spending by Category'!$F$5:$F$505,MATCH(1,INDEX(('Spending by Category'!$B$5:$B$505=$B36)*('Spending by Category'!$D$5:$D$505=$D36),0),0))),"")</f>
        <v>0.15131528195633701</v>
      </c>
      <c r="G36" s="14" t="str">
        <f>IFERROR(IF(INDEX('Spending by Category'!$G$5:$G$505,MATCH(1,INDEX(('Spending by Category'!$B$5:$B$505=$B36)*('Spending by Category'!$D$5:$D$505=$D36),0),0))="","",INDEX('Spending by Category'!$G$5:$G$505,MATCH(1,INDEX(('Spending by Category'!$B$5:$B$505=$B36)*('Spending by Category'!$D$5:$D$505=$D36),0),0))),"")</f>
        <v/>
      </c>
      <c r="H36" s="14">
        <f>IFERROR(IF(INDEX('Spending by Category'!$H$5:$H$505,MATCH(1,INDEX(('Spending by Category'!$B$5:$B$505=$B36)*('Spending by Category'!$D$5:$D$505=$D36),0),0))="","",INDEX('Spending by Category'!$H$5:$H$505,MATCH(1,INDEX(('Spending by Category'!$B$5:$B$505=$B36)*('Spending by Category'!$D$5:$D$505=$D36),0),0))),"")</f>
        <v>5.9014117102522599E-2</v>
      </c>
      <c r="I36" s="14">
        <f>IFERROR(IF(INDEX('Spending by Category'!$I$5:$I$505,MATCH(1,INDEX(('Spending by Category'!$B$5:$B$505=$B36)*('Spending by Category'!$D$5:$D$505=$D36),0),0))="","",INDEX('Spending by Category'!$I$5:$I$505,MATCH(1,INDEX(('Spending by Category'!$B$5:$B$505=$B36)*('Spending by Category'!$D$5:$D$505=$D36),0),0))),"")</f>
        <v>5.8782689192316599E-2</v>
      </c>
      <c r="J36" s="14">
        <f>IFERROR(IF(INDEX('Spending by Category'!$J$5:$J$505,MATCH(1,INDEX(('Spending by Category'!$B$5:$B$505=$B36)*('Spending by Category'!$D$5:$D$505=$D36),0),0))="","",INDEX('Spending by Category'!$J$5:$J$505,MATCH(1,INDEX(('Spending by Category'!$B$5:$B$505=$B36)*('Spending by Category'!$D$5:$D$505=$D36),0),0))),"")</f>
        <v>0.15150813854817599</v>
      </c>
      <c r="K36" s="14" t="str">
        <f>IFERROR(IF(INDEX('Spending by Category'!$K$5:$K$505,MATCH(1,INDEX(('Spending by Category'!$B$5:$B$505=$B36)*('Spending by Category'!$D$5:$D$505=$D36),0),0))="","",INDEX('Spending by Category'!$K$5:$K$505,MATCH(1,INDEX(('Spending by Category'!$B$5:$B$505=$B36)*('Spending by Category'!$D$5:$D$505=$D36),0),0))),"")</f>
        <v/>
      </c>
      <c r="L36" s="14">
        <f>IFERROR(IF(INDEX('Spending by Category'!$L$5:$L$505,MATCH(1,INDEX(('Spending by Category'!$B$5:$B$505=$B36)*('Spending by Category'!$D$5:$D$505=$D36),0),0))="","",INDEX('Spending by Category'!$L$5:$L$505,MATCH(1,INDEX(('Spending by Category'!$B$5:$B$505=$B36)*('Spending by Category'!$D$5:$D$505=$D36),0),0))),"")</f>
        <v>2.1985651469567202E-3</v>
      </c>
      <c r="M36" s="16">
        <f>IFERROR(IF(INDEX('Spending by Category'!$M$5:$M$505,MATCH(1,INDEX(('Spending by Category'!$B$5:$B$505=$B36)*('Spending by Category'!$D$5:$D$505=$D36),0),0))="","",INDEX('Spending by Category'!$M$5:$M$505,MATCH(1,INDEX(('Spending by Category'!$B$5:$B$505=$B36)*('Spending by Category'!$D$5:$D$505=$D36),0),0))),"")</f>
        <v>4.0962740106456799E-2</v>
      </c>
      <c r="N36" s="14" t="str">
        <f>IFERROR(IF(INDEX('Spending by Category'!$N$5:$N$505,MATCH(1,INDEX(('Spending by Category'!$B$5:$B$505=$B36)*('Spending by Category'!$D$5:$D$505=$D36),0),0))="","",INDEX('Spending by Category'!$N$5:$N$505,MATCH(1,INDEX(('Spending by Category'!$B$5:$B$505=$B36)*('Spending by Category'!$D$5:$D$505=$D36),0),0))),"")</f>
        <v/>
      </c>
      <c r="O36" s="14">
        <f>IFERROR(IF(INDEX('Spending by Category'!$O$5:$O$505,MATCH(1,INDEX(('Spending by Category'!$B$5:$B$505=$B36)*('Spending by Category'!$D$5:$D$505=$D36),0),0))="","",INDEX('Spending by Category'!$O$5:$O$505,MATCH(1,INDEX(('Spending by Category'!$B$5:$B$505=$B36)*('Spending by Category'!$D$5:$D$505=$D36),0),0))),"")</f>
        <v>8.2118336804752001E-2</v>
      </c>
      <c r="P36" s="14">
        <f>IFERROR(IF(INDEX('Spending by Category'!$P$5:$P$505,MATCH(1,INDEX(('Spending by Category'!$B$5:$B$505=$B36)*('Spending by Category'!$D$5:$D$505=$D36),0),0))="","",INDEX('Spending by Category'!$P$5:$P$505,MATCH(1,INDEX(('Spending by Category'!$B$5:$B$505=$B36)*('Spending by Category'!$D$5:$D$505=$D36),0),0))),"")</f>
        <v>6.9544087016894199E-2</v>
      </c>
      <c r="Q36" s="14">
        <f>IFERROR(IF(INDEX('Spending by Category'!$Q$5:$Q$505,MATCH(1,INDEX(('Spending by Category'!$B$5:$B$505=$B36)*('Spending by Category'!$D$5:$D$505=$D36),0),0))="","",INDEX('Spending by Category'!$Q$5:$Q$505,MATCH(1,INDEX(('Spending by Category'!$B$5:$B$505=$B36)*('Spending by Category'!$D$5:$D$505=$D36),0),0))),"")</f>
        <v>0.38455604412558808</v>
      </c>
      <c r="R36" s="14">
        <f>IFERROR(IF(INDEX('Spending by Category'!$R$5:$R$505,MATCH(1,INDEX(('Spending by Category'!$B$5:$B$505=$B36)*('Spending by Category'!$D$5:$D$505=$D36),0),0))="","",INDEX('Spending by Category'!$R$5:$R$505,MATCH(1,INDEX(('Spending by Category'!$B$5:$B$505=$B36)*('Spending by Category'!$D$5:$D$505=$D36),0),0))),"")</f>
        <v>0.99999999999999989</v>
      </c>
      <c r="S36" s="14">
        <f>IFERROR(IF(INDEX('Spending by Category'!$Z$5:$Z$505,MATCH(1,INDEX(('Spending by Category'!$B$5:$B$505=$B36)*('Spending by Category'!$D$5:$D$505=$D36),0),0))="","",INDEX('Spending by Category'!$Z$5:$Z$505,MATCH(1,INDEX(('Spending by Category'!$B$5:$B$505=$B36)*('Spending by Category'!$D$5:$D$505=$D36),0),0))),"")</f>
        <v>3.4590382599999997E-2</v>
      </c>
    </row>
    <row r="37" spans="1:19" x14ac:dyDescent="0.2">
      <c r="A37" s="6" t="s">
        <v>136</v>
      </c>
      <c r="B37" s="6" t="s">
        <v>137</v>
      </c>
      <c r="C37" s="6"/>
      <c r="D37" s="15" t="str">
        <f>TEXT(SUMPRODUCT(MAX(('Spending by Category'!$B$5:$B$505=$B37)*('Spending by Category'!$D$5:$D$505+0))),"0")</f>
        <v>2015</v>
      </c>
      <c r="E37" s="15" t="str">
        <f>INDEX('Spending by Category'!$E$5:$E$505,MATCH(1,INDEX(('Spending by Category'!$B$5:$B$505=$B37)*('Spending by Category'!$D$5:$D$505=$D37),0),0))</f>
        <v>Central government (budgetary)</v>
      </c>
      <c r="F37" s="14">
        <f>IFERROR(IF(INDEX('Spending by Category'!$F$5:$F$505,MATCH(1,INDEX(('Spending by Category'!$B$5:$B$505=$B37)*('Spending by Category'!$D$5:$D$505=$D37),0),0))="","",INDEX('Spending by Category'!$F$5:$F$505,MATCH(1,INDEX(('Spending by Category'!$B$5:$B$505=$B37)*('Spending by Category'!$D$5:$D$505=$D37),0),0))),"")</f>
        <v>0.5256301932111469</v>
      </c>
      <c r="G37" s="14">
        <f>IFERROR(IF(INDEX('Spending by Category'!$G$5:$G$505,MATCH(1,INDEX(('Spending by Category'!$B$5:$B$505=$B37)*('Spending by Category'!$D$5:$D$505=$D37),0),0))="","",INDEX('Spending by Category'!$G$5:$G$505,MATCH(1,INDEX(('Spending by Category'!$B$5:$B$505=$B37)*('Spending by Category'!$D$5:$D$505=$D37),0),0))),"")</f>
        <v>0.28731519440395697</v>
      </c>
      <c r="H37" s="14">
        <f>IFERROR(IF(INDEX('Spending by Category'!$H$5:$H$505,MATCH(1,INDEX(('Spending by Category'!$B$5:$B$505=$B37)*('Spending by Category'!$D$5:$D$505=$D37),0),0))="","",INDEX('Spending by Category'!$H$5:$H$505,MATCH(1,INDEX(('Spending by Category'!$B$5:$B$505=$B37)*('Spending by Category'!$D$5:$D$505=$D37),0),0))),"")</f>
        <v>0.121299102108616</v>
      </c>
      <c r="I37" s="14">
        <f>IFERROR(IF(INDEX('Spending by Category'!$I$5:$I$505,MATCH(1,INDEX(('Spending by Category'!$B$5:$B$505=$B37)*('Spending by Category'!$D$5:$D$505=$D37),0),0))="","",INDEX('Spending by Category'!$I$5:$I$505,MATCH(1,INDEX(('Spending by Category'!$B$5:$B$505=$B37)*('Spending by Category'!$D$5:$D$505=$D37),0),0))),"")</f>
        <v>1.5680138819998801E-2</v>
      </c>
      <c r="J37" s="14">
        <f>IFERROR(IF(INDEX('Spending by Category'!$J$5:$J$505,MATCH(1,INDEX(('Spending by Category'!$B$5:$B$505=$B37)*('Spending by Category'!$D$5:$D$505=$D37),0),0))="","",INDEX('Spending by Category'!$J$5:$J$505,MATCH(1,INDEX(('Spending by Category'!$B$5:$B$505=$B37)*('Spending by Category'!$D$5:$D$505=$D37),0),0))),"")</f>
        <v>2.57905340519421E-2</v>
      </c>
      <c r="K37" s="14">
        <f>IFERROR(IF(INDEX('Spending by Category'!$K$5:$K$505,MATCH(1,INDEX(('Spending by Category'!$B$5:$B$505=$B37)*('Spending by Category'!$D$5:$D$505=$D37),0),0))="","",INDEX('Spending by Category'!$K$5:$K$505,MATCH(1,INDEX(('Spending by Category'!$B$5:$B$505=$B37)*('Spending by Category'!$D$5:$D$505=$D37),0),0))),"")</f>
        <v>1.6649113776855801E-4</v>
      </c>
      <c r="L37" s="14">
        <f>IFERROR(IF(INDEX('Spending by Category'!$L$5:$L$505,MATCH(1,INDEX(('Spending by Category'!$B$5:$B$505=$B37)*('Spending by Category'!$D$5:$D$505=$D37),0),0))="","",INDEX('Spending by Category'!$L$5:$L$505,MATCH(1,INDEX(('Spending by Category'!$B$5:$B$505=$B37)*('Spending by Category'!$D$5:$D$505=$D37),0),0))),"")</f>
        <v>8.360938926858071E-4</v>
      </c>
      <c r="M37" s="16">
        <f>IFERROR(IF(INDEX('Spending by Category'!$M$5:$M$505,MATCH(1,INDEX(('Spending by Category'!$B$5:$B$505=$B37)*('Spending by Category'!$D$5:$D$505=$D37),0),0))="","",INDEX('Spending by Category'!$M$5:$M$505,MATCH(1,INDEX(('Spending by Category'!$B$5:$B$505=$B37)*('Spending by Category'!$D$5:$D$505=$D37),0),0))),"")</f>
        <v>6.6107896305646506E-3</v>
      </c>
      <c r="N37" s="14">
        <f>IFERROR(IF(INDEX('Spending by Category'!$N$5:$N$505,MATCH(1,INDEX(('Spending by Category'!$B$5:$B$505=$B37)*('Spending by Category'!$D$5:$D$505=$D37),0),0))="","",INDEX('Spending by Category'!$N$5:$N$505,MATCH(1,INDEX(('Spending by Category'!$B$5:$B$505=$B37)*('Spending by Category'!$D$5:$D$505=$D37),0),0))),"")</f>
        <v>1.30750116205963E-3</v>
      </c>
      <c r="O37" s="14">
        <f>IFERROR(IF(INDEX('Spending by Category'!$O$5:$O$505,MATCH(1,INDEX(('Spending by Category'!$B$5:$B$505=$B37)*('Spending by Category'!$D$5:$D$505=$D37),0),0))="","",INDEX('Spending by Category'!$O$5:$O$505,MATCH(1,INDEX(('Spending by Category'!$B$5:$B$505=$B37)*('Spending by Category'!$D$5:$D$505=$D37),0),0))),"")</f>
        <v>1.4897751745948E-2</v>
      </c>
      <c r="P37" s="14">
        <f>IFERROR(IF(INDEX('Spending by Category'!$P$5:$P$505,MATCH(1,INDEX(('Spending by Category'!$B$5:$B$505=$B37)*('Spending by Category'!$D$5:$D$505=$D37),0),0))="","",INDEX('Spending by Category'!$P$5:$P$505,MATCH(1,INDEX(('Spending by Category'!$B$5:$B$505=$B37)*('Spending by Category'!$D$5:$D$505=$D37),0),0))),"")</f>
        <v>4.6620983531237199E-4</v>
      </c>
      <c r="Q37" s="14" t="str">
        <f>IFERROR(IF(INDEX('Spending by Category'!$Q$5:$Q$505,MATCH(1,INDEX(('Spending by Category'!$B$5:$B$505=$B37)*('Spending by Category'!$D$5:$D$505=$D37),0),0))="","",INDEX('Spending by Category'!$Q$5:$Q$505,MATCH(1,INDEX(('Spending by Category'!$B$5:$B$505=$B37)*('Spending by Category'!$D$5:$D$505=$D37),0),0))),"")</f>
        <v/>
      </c>
      <c r="R37" s="14">
        <f>IFERROR(IF(INDEX('Spending by Category'!$R$5:$R$505,MATCH(1,INDEX(('Spending by Category'!$B$5:$B$505=$B37)*('Spending by Category'!$D$5:$D$505=$D37),0),0))="","",INDEX('Spending by Category'!$R$5:$R$505,MATCH(1,INDEX(('Spending by Category'!$B$5:$B$505=$B37)*('Spending by Category'!$D$5:$D$505=$D37),0),0))),"")</f>
        <v>0.99999999999999967</v>
      </c>
      <c r="S37" s="14">
        <f>IFERROR(IF(INDEX('Spending by Category'!$Z$5:$Z$505,MATCH(1,INDEX(('Spending by Category'!$B$5:$B$505=$B37)*('Spending by Category'!$D$5:$D$505=$D37),0),0))="","",INDEX('Spending by Category'!$Z$5:$Z$505,MATCH(1,INDEX(('Spending by Category'!$B$5:$B$505=$B37)*('Spending by Category'!$D$5:$D$505=$D37),0),0))),"")</f>
        <v>3.8504207099999993E-2</v>
      </c>
    </row>
    <row r="38" spans="1:19" x14ac:dyDescent="0.2">
      <c r="A38" s="6" t="s">
        <v>138</v>
      </c>
      <c r="B38" s="6" t="s">
        <v>139</v>
      </c>
      <c r="C38" s="6"/>
      <c r="D38" s="15" t="str">
        <f>TEXT(SUMPRODUCT(MAX(('Spending by Category'!$B$5:$B$505=$B38)*('Spending by Category'!$D$5:$D$505+0))),"0")</f>
        <v>2025</v>
      </c>
      <c r="E38" s="15" t="str">
        <f>INDEX('Spending by Category'!$E$5:$E$505,MATCH(1,INDEX(('Spending by Category'!$B$5:$B$505=$B38)*('Spending by Category'!$D$5:$D$505=$D38),0),0))</f>
        <v>Central government (budgetary)</v>
      </c>
      <c r="F38" s="14">
        <f>IFERROR(IF(INDEX('Spending by Category'!$F$5:$F$505,MATCH(1,INDEX(('Spending by Category'!$B$5:$B$505=$B38)*('Spending by Category'!$D$5:$D$505=$D38),0),0))="","",INDEX('Spending by Category'!$F$5:$F$505,MATCH(1,INDEX(('Spending by Category'!$B$5:$B$505=$B38)*('Spending by Category'!$D$5:$D$505=$D38),0),0))),"")</f>
        <v>9.6237225588347866E-2</v>
      </c>
      <c r="G38" s="14">
        <f>IFERROR(IF(INDEX('Spending by Category'!$G$5:$G$505,MATCH(1,INDEX(('Spending by Category'!$B$5:$B$505=$B38)*('Spending by Category'!$D$5:$D$505=$D38),0),0))="","",INDEX('Spending by Category'!$G$5:$G$505,MATCH(1,INDEX(('Spending by Category'!$B$5:$B$505=$B38)*('Spending by Category'!$D$5:$D$505=$D38),0),0))),"")</f>
        <v>0.19453931312919939</v>
      </c>
      <c r="H38" s="14">
        <f>IFERROR(IF(INDEX('Spending by Category'!$H$5:$H$505,MATCH(1,INDEX(('Spending by Category'!$B$5:$B$505=$B38)*('Spending by Category'!$D$5:$D$505=$D38),0),0))="","",INDEX('Spending by Category'!$H$5:$H$505,MATCH(1,INDEX(('Spending by Category'!$B$5:$B$505=$B38)*('Spending by Category'!$D$5:$D$505=$D38),0),0))),"")</f>
        <v>0</v>
      </c>
      <c r="I38" s="14">
        <f>IFERROR(IF(INDEX('Spending by Category'!$I$5:$I$505,MATCH(1,INDEX(('Spending by Category'!$B$5:$B$505=$B38)*('Spending by Category'!$D$5:$D$505=$D38),0),0))="","",INDEX('Spending by Category'!$I$5:$I$505,MATCH(1,INDEX(('Spending by Category'!$B$5:$B$505=$B38)*('Spending by Category'!$D$5:$D$505=$D38),0),0))),"")</f>
        <v>0.10992258146254601</v>
      </c>
      <c r="J38" s="14">
        <f>IFERROR(IF(INDEX('Spending by Category'!$J$5:$J$505,MATCH(1,INDEX(('Spending by Category'!$B$5:$B$505=$B38)*('Spending by Category'!$D$5:$D$505=$D38),0),0))="","",INDEX('Spending by Category'!$J$5:$J$505,MATCH(1,INDEX(('Spending by Category'!$B$5:$B$505=$B38)*('Spending by Category'!$D$5:$D$505=$D38),0),0))),"")</f>
        <v>0.1025503759338149</v>
      </c>
      <c r="K38" s="14">
        <f>IFERROR(IF(INDEX('Spending by Category'!$K$5:$K$505,MATCH(1,INDEX(('Spending by Category'!$B$5:$B$505=$B38)*('Spending by Category'!$D$5:$D$505=$D38),0),0))="","",INDEX('Spending by Category'!$K$5:$K$505,MATCH(1,INDEX(('Spending by Category'!$B$5:$B$505=$B38)*('Spending by Category'!$D$5:$D$505=$D38),0),0))),"")</f>
        <v>2.1478110637588841E-2</v>
      </c>
      <c r="L38" s="14">
        <f>IFERROR(IF(INDEX('Spending by Category'!$L$5:$L$505,MATCH(1,INDEX(('Spending by Category'!$B$5:$B$505=$B38)*('Spending by Category'!$D$5:$D$505=$D38),0),0))="","",INDEX('Spending by Category'!$L$5:$L$505,MATCH(1,INDEX(('Spending by Category'!$B$5:$B$505=$B38)*('Spending by Category'!$D$5:$D$505=$D38),0),0))),"")</f>
        <v>7.2699632116734591E-3</v>
      </c>
      <c r="M38" s="16">
        <f>IFERROR(IF(INDEX('Spending by Category'!$M$5:$M$505,MATCH(1,INDEX(('Spending by Category'!$B$5:$B$505=$B38)*('Spending by Category'!$D$5:$D$505=$D38),0),0))="","",INDEX('Spending by Category'!$M$5:$M$505,MATCH(1,INDEX(('Spending by Category'!$B$5:$B$505=$B38)*('Spending by Category'!$D$5:$D$505=$D38),0),0))),"")</f>
        <v>0.22496943205541714</v>
      </c>
      <c r="N38" s="14">
        <f>IFERROR(IF(INDEX('Spending by Category'!$N$5:$N$505,MATCH(1,INDEX(('Spending by Category'!$B$5:$B$505=$B38)*('Spending by Category'!$D$5:$D$505=$D38),0),0))="","",INDEX('Spending by Category'!$N$5:$N$505,MATCH(1,INDEX(('Spending by Category'!$B$5:$B$505=$B38)*('Spending by Category'!$D$5:$D$505=$D38),0),0))),"")</f>
        <v>6.4810962783299006E-5</v>
      </c>
      <c r="O38" s="14">
        <f>IFERROR(IF(INDEX('Spending by Category'!$O$5:$O$505,MATCH(1,INDEX(('Spending by Category'!$B$5:$B$505=$B38)*('Spending by Category'!$D$5:$D$505=$D38),0),0))="","",INDEX('Spending by Category'!$O$5:$O$505,MATCH(1,INDEX(('Spending by Category'!$B$5:$B$505=$B38)*('Spending by Category'!$D$5:$D$505=$D38),0),0))),"")</f>
        <v>0.1939529301533898</v>
      </c>
      <c r="P38" s="14">
        <f>IFERROR(IF(INDEX('Spending by Category'!$P$5:$P$505,MATCH(1,INDEX(('Spending by Category'!$B$5:$B$505=$B38)*('Spending by Category'!$D$5:$D$505=$D38),0),0))="","",INDEX('Spending by Category'!$P$5:$P$505,MATCH(1,INDEX(('Spending by Category'!$B$5:$B$505=$B38)*('Spending by Category'!$D$5:$D$505=$D38),0),0))),"")</f>
        <v>4.901525686523929E-2</v>
      </c>
      <c r="Q38" s="14" t="str">
        <f>IFERROR(IF(INDEX('Spending by Category'!$Q$5:$Q$505,MATCH(1,INDEX(('Spending by Category'!$B$5:$B$505=$B38)*('Spending by Category'!$D$5:$D$505=$D38),0),0))="","",INDEX('Spending by Category'!$Q$5:$Q$505,MATCH(1,INDEX(('Spending by Category'!$B$5:$B$505=$B38)*('Spending by Category'!$D$5:$D$505=$D38),0),0))),"")</f>
        <v/>
      </c>
      <c r="R38" s="14">
        <f>IFERROR(IF(INDEX('Spending by Category'!$R$5:$R$505,MATCH(1,INDEX(('Spending by Category'!$B$5:$B$505=$B38)*('Spending by Category'!$D$5:$D$505=$D38),0),0))="","",INDEX('Spending by Category'!$R$5:$R$505,MATCH(1,INDEX(('Spending by Category'!$B$5:$B$505=$B38)*('Spending by Category'!$D$5:$D$505=$D38),0),0))),"")</f>
        <v>1</v>
      </c>
      <c r="S38" s="14" t="str">
        <f>IFERROR(IF(INDEX('Spending by Category'!$Z$5:$Z$505,MATCH(1,INDEX(('Spending by Category'!$B$5:$B$505=$B38)*('Spending by Category'!$D$5:$D$505=$D38),0),0))="","",INDEX('Spending by Category'!$Z$5:$Z$505,MATCH(1,INDEX(('Spending by Category'!$B$5:$B$505=$B38)*('Spending by Category'!$D$5:$D$505=$D38),0),0))),"")</f>
        <v/>
      </c>
    </row>
    <row r="39" spans="1:19" x14ac:dyDescent="0.2">
      <c r="A39" s="6" t="s">
        <v>140</v>
      </c>
      <c r="B39" s="6" t="s">
        <v>141</v>
      </c>
      <c r="C39" s="6"/>
      <c r="D39" s="15" t="str">
        <f>TEXT(SUMPRODUCT(MAX(('Spending by Category'!$B$5:$B$505=$B39)*('Spending by Category'!$D$5:$D$505+0))),"0")</f>
        <v>2024</v>
      </c>
      <c r="E39" s="15" t="str">
        <f>INDEX('Spending by Category'!$E$5:$E$505,MATCH(1,INDEX(('Spending by Category'!$B$5:$B$505=$B39)*('Spending by Category'!$D$5:$D$505=$D39),0),0))</f>
        <v>Central government (budgetary)</v>
      </c>
      <c r="F39" s="14">
        <f>IFERROR(IF(INDEX('Spending by Category'!$F$5:$F$505,MATCH(1,INDEX(('Spending by Category'!$B$5:$B$505=$B39)*('Spending by Category'!$D$5:$D$505=$D39),0),0))="","",INDEX('Spending by Category'!$F$5:$F$505,MATCH(1,INDEX(('Spending by Category'!$B$5:$B$505=$B39)*('Spending by Category'!$D$5:$D$505=$D39),0),0))),"")</f>
        <v>0.51368034620169578</v>
      </c>
      <c r="G39" s="14">
        <f>IFERROR(IF(INDEX('Spending by Category'!$G$5:$G$505,MATCH(1,INDEX(('Spending by Category'!$B$5:$B$505=$B39)*('Spending by Category'!$D$5:$D$505=$D39),0),0))="","",INDEX('Spending by Category'!$G$5:$G$505,MATCH(1,INDEX(('Spending by Category'!$B$5:$B$505=$B39)*('Spending by Category'!$D$5:$D$505=$D39),0),0))),"")</f>
        <v>0.11925871770118469</v>
      </c>
      <c r="H39" s="14">
        <f>IFERROR(IF(INDEX('Spending by Category'!$H$5:$H$505,MATCH(1,INDEX(('Spending by Category'!$B$5:$B$505=$B39)*('Spending by Category'!$D$5:$D$505=$D39),0),0))="","",INDEX('Spending by Category'!$H$5:$H$505,MATCH(1,INDEX(('Spending by Category'!$B$5:$B$505=$B39)*('Spending by Category'!$D$5:$D$505=$D39),0),0))),"")</f>
        <v>1.6485417296856261E-2</v>
      </c>
      <c r="I39" s="14">
        <f>IFERROR(IF(INDEX('Spending by Category'!$I$5:$I$505,MATCH(1,INDEX(('Spending by Category'!$B$5:$B$505=$B39)*('Spending by Category'!$D$5:$D$505=$D39),0),0))="","",INDEX('Spending by Category'!$I$5:$I$505,MATCH(1,INDEX(('Spending by Category'!$B$5:$B$505=$B39)*('Spending by Category'!$D$5:$D$505=$D39),0),0))),"")</f>
        <v>6.098354064934948E-2</v>
      </c>
      <c r="J39" s="14">
        <f>IFERROR(IF(INDEX('Spending by Category'!$J$5:$J$505,MATCH(1,INDEX(('Spending by Category'!$B$5:$B$505=$B39)*('Spending by Category'!$D$5:$D$505=$D39),0),0))="","",INDEX('Spending by Category'!$J$5:$J$505,MATCH(1,INDEX(('Spending by Category'!$B$5:$B$505=$B39)*('Spending by Category'!$D$5:$D$505=$D39),0),0))),"")</f>
        <v>2.8729270133820199E-2</v>
      </c>
      <c r="K39" s="14">
        <f>IFERROR(IF(INDEX('Spending by Category'!$K$5:$K$505,MATCH(1,INDEX(('Spending by Category'!$B$5:$B$505=$B39)*('Spending by Category'!$D$5:$D$505=$D39),0),0))="","",INDEX('Spending by Category'!$K$5:$K$505,MATCH(1,INDEX(('Spending by Category'!$B$5:$B$505=$B39)*('Spending by Category'!$D$5:$D$505=$D39),0),0))),"")</f>
        <v>4.0091016112549498E-4</v>
      </c>
      <c r="L39" s="14">
        <f>IFERROR(IF(INDEX('Spending by Category'!$L$5:$L$505,MATCH(1,INDEX(('Spending by Category'!$B$5:$B$505=$B39)*('Spending by Category'!$D$5:$D$505=$D39),0),0))="","",INDEX('Spending by Category'!$L$5:$L$505,MATCH(1,INDEX(('Spending by Category'!$B$5:$B$505=$B39)*('Spending by Category'!$D$5:$D$505=$D39),0),0))),"")</f>
        <v>8.9507144051605397E-4</v>
      </c>
      <c r="M39" s="16">
        <f>IFERROR(IF(INDEX('Spending by Category'!$M$5:$M$505,MATCH(1,INDEX(('Spending by Category'!$B$5:$B$505=$B39)*('Spending by Category'!$D$5:$D$505=$D39),0),0))="","",INDEX('Spending by Category'!$M$5:$M$505,MATCH(1,INDEX(('Spending by Category'!$B$5:$B$505=$B39)*('Spending by Category'!$D$5:$D$505=$D39),0),0))),"")</f>
        <v>8.4701060219088686E-2</v>
      </c>
      <c r="N39" s="14">
        <f>IFERROR(IF(INDEX('Spending by Category'!$N$5:$N$505,MATCH(1,INDEX(('Spending by Category'!$B$5:$B$505=$B39)*('Spending by Category'!$D$5:$D$505=$D39),0),0))="","",INDEX('Spending by Category'!$N$5:$N$505,MATCH(1,INDEX(('Spending by Category'!$B$5:$B$505=$B39)*('Spending by Category'!$D$5:$D$505=$D39),0),0))),"")</f>
        <v>5.4975719696571893E-3</v>
      </c>
      <c r="O39" s="14">
        <f>IFERROR(IF(INDEX('Spending by Category'!$O$5:$O$505,MATCH(1,INDEX(('Spending by Category'!$B$5:$B$505=$B39)*('Spending by Category'!$D$5:$D$505=$D39),0),0))="","",INDEX('Spending by Category'!$O$5:$O$505,MATCH(1,INDEX(('Spending by Category'!$B$5:$B$505=$B39)*('Spending by Category'!$D$5:$D$505=$D39),0),0))),"")</f>
        <v>0.16531092016350871</v>
      </c>
      <c r="P39" s="14">
        <f>IFERROR(IF(INDEX('Spending by Category'!$P$5:$P$505,MATCH(1,INDEX(('Spending by Category'!$B$5:$B$505=$B39)*('Spending by Category'!$D$5:$D$505=$D39),0),0))="","",INDEX('Spending by Category'!$P$5:$P$505,MATCH(1,INDEX(('Spending by Category'!$B$5:$B$505=$B39)*('Spending by Category'!$D$5:$D$505=$D39),0),0))),"")</f>
        <v>4.0571740631980321E-3</v>
      </c>
      <c r="Q39" s="14" t="str">
        <f>IFERROR(IF(INDEX('Spending by Category'!$Q$5:$Q$505,MATCH(1,INDEX(('Spending by Category'!$B$5:$B$505=$B39)*('Spending by Category'!$D$5:$D$505=$D39),0),0))="","",INDEX('Spending by Category'!$Q$5:$Q$505,MATCH(1,INDEX(('Spending by Category'!$B$5:$B$505=$B39)*('Spending by Category'!$D$5:$D$505=$D39),0),0))),"")</f>
        <v/>
      </c>
      <c r="R39" s="14">
        <f>IFERROR(IF(INDEX('Spending by Category'!$R$5:$R$505,MATCH(1,INDEX(('Spending by Category'!$B$5:$B$505=$B39)*('Spending by Category'!$D$5:$D$505=$D39),0),0))="","",INDEX('Spending by Category'!$R$5:$R$505,MATCH(1,INDEX(('Spending by Category'!$B$5:$B$505=$B39)*('Spending by Category'!$D$5:$D$505=$D39),0),0))),"")</f>
        <v>1.0000000000000007</v>
      </c>
      <c r="S39" s="14" t="str">
        <f>IFERROR(IF(INDEX('Spending by Category'!$Z$5:$Z$505,MATCH(1,INDEX(('Spending by Category'!$B$5:$B$505=$B39)*('Spending by Category'!$D$5:$D$505=$D39),0),0))="","",INDEX('Spending by Category'!$Z$5:$Z$505,MATCH(1,INDEX(('Spending by Category'!$B$5:$B$505=$B39)*('Spending by Category'!$D$5:$D$505=$D39),0),0))),"")</f>
        <v/>
      </c>
    </row>
    <row r="40" spans="1:19" x14ac:dyDescent="0.2">
      <c r="A40" s="6" t="s">
        <v>142</v>
      </c>
      <c r="B40" s="6" t="s">
        <v>143</v>
      </c>
      <c r="C40" s="6"/>
      <c r="D40" s="15" t="str">
        <f>TEXT(SUMPRODUCT(MAX(('Spending by Category'!$B$5:$B$505=$B40)*('Spending by Category'!$D$5:$D$505+0))),"0")</f>
        <v>2024</v>
      </c>
      <c r="E40" s="15" t="str">
        <f>INDEX('Spending by Category'!$E$5:$E$505,MATCH(1,INDEX(('Spending by Category'!$B$5:$B$505=$B40)*('Spending by Category'!$D$5:$D$505=$D40),0),0))</f>
        <v>Central government (budgetary)</v>
      </c>
      <c r="F40" s="14">
        <f>IFERROR(IF(INDEX('Spending by Category'!$F$5:$F$505,MATCH(1,INDEX(('Spending by Category'!$B$5:$B$505=$B40)*('Spending by Category'!$D$5:$D$505=$D40),0),0))="","",INDEX('Spending by Category'!$F$5:$F$505,MATCH(1,INDEX(('Spending by Category'!$B$5:$B$505=$B40)*('Spending by Category'!$D$5:$D$505=$D40),0),0))),"")</f>
        <v>0.23593710682683389</v>
      </c>
      <c r="G40" s="14">
        <f>IFERROR(IF(INDEX('Spending by Category'!$G$5:$G$505,MATCH(1,INDEX(('Spending by Category'!$B$5:$B$505=$B40)*('Spending by Category'!$D$5:$D$505=$D40),0),0))="","",INDEX('Spending by Category'!$G$5:$G$505,MATCH(1,INDEX(('Spending by Category'!$B$5:$B$505=$B40)*('Spending by Category'!$D$5:$D$505=$D40),0),0))),"")</f>
        <v>0.12899468161602759</v>
      </c>
      <c r="H40" s="14">
        <f>IFERROR(IF(INDEX('Spending by Category'!$H$5:$H$505,MATCH(1,INDEX(('Spending by Category'!$B$5:$B$505=$B40)*('Spending by Category'!$D$5:$D$505=$D40),0),0))="","",INDEX('Spending by Category'!$H$5:$H$505,MATCH(1,INDEX(('Spending by Category'!$B$5:$B$505=$B40)*('Spending by Category'!$D$5:$D$505=$D40),0),0))),"")</f>
        <v>4.0270564820793733E-2</v>
      </c>
      <c r="I40" s="14">
        <f>IFERROR(IF(INDEX('Spending by Category'!$I$5:$I$505,MATCH(1,INDEX(('Spending by Category'!$B$5:$B$505=$B40)*('Spending by Category'!$D$5:$D$505=$D40),0),0))="","",INDEX('Spending by Category'!$I$5:$I$505,MATCH(1,INDEX(('Spending by Category'!$B$5:$B$505=$B40)*('Spending by Category'!$D$5:$D$505=$D40),0),0))),"")</f>
        <v>5.2468491646414241E-2</v>
      </c>
      <c r="J40" s="14">
        <f>IFERROR(IF(INDEX('Spending by Category'!$J$5:$J$505,MATCH(1,INDEX(('Spending by Category'!$B$5:$B$505=$B40)*('Spending by Category'!$D$5:$D$505=$D40),0),0))="","",INDEX('Spending by Category'!$J$5:$J$505,MATCH(1,INDEX(('Spending by Category'!$B$5:$B$505=$B40)*('Spending by Category'!$D$5:$D$505=$D40),0),0))),"")</f>
        <v>0.18664585572140729</v>
      </c>
      <c r="K40" s="14">
        <f>IFERROR(IF(INDEX('Spending by Category'!$K$5:$K$505,MATCH(1,INDEX(('Spending by Category'!$B$5:$B$505=$B40)*('Spending by Category'!$D$5:$D$505=$D40),0),0))="","",INDEX('Spending by Category'!$K$5:$K$505,MATCH(1,INDEX(('Spending by Category'!$B$5:$B$505=$B40)*('Spending by Category'!$D$5:$D$505=$D40),0),0))),"")</f>
        <v>3.2377400949302219E-3</v>
      </c>
      <c r="L40" s="14">
        <f>IFERROR(IF(INDEX('Spending by Category'!$L$5:$L$505,MATCH(1,INDEX(('Spending by Category'!$B$5:$B$505=$B40)*('Spending by Category'!$D$5:$D$505=$D40),0),0))="","",INDEX('Spending by Category'!$L$5:$L$505,MATCH(1,INDEX(('Spending by Category'!$B$5:$B$505=$B40)*('Spending by Category'!$D$5:$D$505=$D40),0),0))),"")</f>
        <v>1.487477859782651E-3</v>
      </c>
      <c r="M40" s="16">
        <f>IFERROR(IF(INDEX('Spending by Category'!$M$5:$M$505,MATCH(1,INDEX(('Spending by Category'!$B$5:$B$505=$B40)*('Spending by Category'!$D$5:$D$505=$D40),0),0))="","",INDEX('Spending by Category'!$M$5:$M$505,MATCH(1,INDEX(('Spending by Category'!$B$5:$B$505=$B40)*('Spending by Category'!$D$5:$D$505=$D40),0),0))),"")</f>
        <v>5.7830137869695784E-2</v>
      </c>
      <c r="N40" s="14">
        <f>IFERROR(IF(INDEX('Spending by Category'!$N$5:$N$505,MATCH(1,INDEX(('Spending by Category'!$B$5:$B$505=$B40)*('Spending by Category'!$D$5:$D$505=$D40),0),0))="","",INDEX('Spending by Category'!$N$5:$N$505,MATCH(1,INDEX(('Spending by Category'!$B$5:$B$505=$B40)*('Spending by Category'!$D$5:$D$505=$D40),0),0))),"")</f>
        <v>1.1993445093021441E-3</v>
      </c>
      <c r="O40" s="14">
        <f>IFERROR(IF(INDEX('Spending by Category'!$O$5:$O$505,MATCH(1,INDEX(('Spending by Category'!$B$5:$B$505=$B40)*('Spending by Category'!$D$5:$D$505=$D40),0),0))="","",INDEX('Spending by Category'!$O$5:$O$505,MATCH(1,INDEX(('Spending by Category'!$B$5:$B$505=$B40)*('Spending by Category'!$D$5:$D$505=$D40),0),0))),"")</f>
        <v>0.15118568141171479</v>
      </c>
      <c r="P40" s="14">
        <f>IFERROR(IF(INDEX('Spending by Category'!$P$5:$P$505,MATCH(1,INDEX(('Spending by Category'!$B$5:$B$505=$B40)*('Spending by Category'!$D$5:$D$505=$D40),0),0))="","",INDEX('Spending by Category'!$P$5:$P$505,MATCH(1,INDEX(('Spending by Category'!$B$5:$B$505=$B40)*('Spending by Category'!$D$5:$D$505=$D40),0),0))),"")</f>
        <v>0.1407429176230976</v>
      </c>
      <c r="Q40" s="14" t="str">
        <f>IFERROR(IF(INDEX('Spending by Category'!$Q$5:$Q$505,MATCH(1,INDEX(('Spending by Category'!$B$5:$B$505=$B40)*('Spending by Category'!$D$5:$D$505=$D40),0),0))="","",INDEX('Spending by Category'!$Q$5:$Q$505,MATCH(1,INDEX(('Spending by Category'!$B$5:$B$505=$B40)*('Spending by Category'!$D$5:$D$505=$D40),0),0))),"")</f>
        <v/>
      </c>
      <c r="R40" s="14">
        <f>IFERROR(IF(INDEX('Spending by Category'!$R$5:$R$505,MATCH(1,INDEX(('Spending by Category'!$B$5:$B$505=$B40)*('Spending by Category'!$D$5:$D$505=$D40),0),0))="","",INDEX('Spending by Category'!$R$5:$R$505,MATCH(1,INDEX(('Spending by Category'!$B$5:$B$505=$B40)*('Spending by Category'!$D$5:$D$505=$D40),0),0))),"")</f>
        <v>1</v>
      </c>
      <c r="S40" s="14" t="str">
        <f>IFERROR(IF(INDEX('Spending by Category'!$Z$5:$Z$505,MATCH(1,INDEX(('Spending by Category'!$B$5:$B$505=$B40)*('Spending by Category'!$D$5:$D$505=$D40),0),0))="","",INDEX('Spending by Category'!$Z$5:$Z$505,MATCH(1,INDEX(('Spending by Category'!$B$5:$B$505=$B40)*('Spending by Category'!$D$5:$D$505=$D40),0),0))),"")</f>
        <v/>
      </c>
    </row>
    <row r="41" spans="1:19" x14ac:dyDescent="0.2">
      <c r="A41" s="6" t="s">
        <v>144</v>
      </c>
      <c r="B41" s="6" t="s">
        <v>145</v>
      </c>
      <c r="C41" s="6"/>
      <c r="D41" s="15" t="str">
        <f>TEXT(SUMPRODUCT(MAX(('Spending by Category'!$B$5:$B$505=$B41)*('Spending by Category'!$D$5:$D$505+0))),"0")</f>
        <v>2024</v>
      </c>
      <c r="E41" s="15" t="str">
        <f>INDEX('Spending by Category'!$E$5:$E$505,MATCH(1,INDEX(('Spending by Category'!$B$5:$B$505=$B41)*('Spending by Category'!$D$5:$D$505=$D41),0),0))</f>
        <v>General government</v>
      </c>
      <c r="F41" s="14">
        <f>IFERROR(IF(INDEX('Spending by Category'!$F$5:$F$505,MATCH(1,INDEX(('Spending by Category'!$B$5:$B$505=$B41)*('Spending by Category'!$D$5:$D$505=$D41),0),0))="","",INDEX('Spending by Category'!$F$5:$F$505,MATCH(1,INDEX(('Spending by Category'!$B$5:$B$505=$B41)*('Spending by Category'!$D$5:$D$505=$D41),0),0))),"")</f>
        <v>5.4220551614881297E-2</v>
      </c>
      <c r="G41" s="14">
        <f>IFERROR(IF(INDEX('Spending by Category'!$G$5:$G$505,MATCH(1,INDEX(('Spending by Category'!$B$5:$B$505=$B41)*('Spending by Category'!$D$5:$D$505=$D41),0),0))="","",INDEX('Spending by Category'!$G$5:$G$505,MATCH(1,INDEX(('Spending by Category'!$B$5:$B$505=$B41)*('Spending by Category'!$D$5:$D$505=$D41),0),0))),"")</f>
        <v>3.6162215177623108E-2</v>
      </c>
      <c r="H41" s="14">
        <f>IFERROR(IF(INDEX('Spending by Category'!$H$5:$H$505,MATCH(1,INDEX(('Spending by Category'!$B$5:$B$505=$B41)*('Spending by Category'!$D$5:$D$505=$D41),0),0))="","",INDEX('Spending by Category'!$H$5:$H$505,MATCH(1,INDEX(('Spending by Category'!$B$5:$B$505=$B41)*('Spending by Category'!$D$5:$D$505=$D41),0),0))),"")</f>
        <v>1.446130774723371E-2</v>
      </c>
      <c r="I41" s="14">
        <f>IFERROR(IF(INDEX('Spending by Category'!$I$5:$I$505,MATCH(1,INDEX(('Spending by Category'!$B$5:$B$505=$B41)*('Spending by Category'!$D$5:$D$505=$D41),0),0))="","",INDEX('Spending by Category'!$I$5:$I$505,MATCH(1,INDEX(('Spending by Category'!$B$5:$B$505=$B41)*('Spending by Category'!$D$5:$D$505=$D41),0),0))),"")</f>
        <v>5.8026586945949407E-2</v>
      </c>
      <c r="J41" s="14">
        <f>IFERROR(IF(INDEX('Spending by Category'!$J$5:$J$505,MATCH(1,INDEX(('Spending by Category'!$B$5:$B$505=$B41)*('Spending by Category'!$D$5:$D$505=$D41),0),0))="","",INDEX('Spending by Category'!$J$5:$J$505,MATCH(1,INDEX(('Spending by Category'!$B$5:$B$505=$B41)*('Spending by Category'!$D$5:$D$505=$D41),0),0))),"")</f>
        <v>9.1905180924931648E-2</v>
      </c>
      <c r="K41" s="14">
        <f>IFERROR(IF(INDEX('Spending by Category'!$K$5:$K$505,MATCH(1,INDEX(('Spending by Category'!$B$5:$B$505=$B41)*('Spending by Category'!$D$5:$D$505=$D41),0),0))="","",INDEX('Spending by Category'!$K$5:$K$505,MATCH(1,INDEX(('Spending by Category'!$B$5:$B$505=$B41)*('Spending by Category'!$D$5:$D$505=$D41),0),0))),"")</f>
        <v>4.1370302840050546E-3</v>
      </c>
      <c r="L41" s="14">
        <f>IFERROR(IF(INDEX('Spending by Category'!$L$5:$L$505,MATCH(1,INDEX(('Spending by Category'!$B$5:$B$505=$B41)*('Spending by Category'!$D$5:$D$505=$D41),0),0))="","",INDEX('Spending by Category'!$L$5:$L$505,MATCH(1,INDEX(('Spending by Category'!$B$5:$B$505=$B41)*('Spending by Category'!$D$5:$D$505=$D41),0),0))),"")</f>
        <v>2.5768811004321639E-2</v>
      </c>
      <c r="M41" s="16">
        <f>IFERROR(IF(INDEX('Spending by Category'!$M$5:$M$505,MATCH(1,INDEX(('Spending by Category'!$B$5:$B$505=$B41)*('Spending by Category'!$D$5:$D$505=$D41),0),0))="","",INDEX('Spending by Category'!$M$5:$M$505,MATCH(1,INDEX(('Spending by Category'!$B$5:$B$505=$B41)*('Spending by Category'!$D$5:$D$505=$D41),0),0))),"")</f>
        <v>0.14700323513003141</v>
      </c>
      <c r="N41" s="14">
        <f>IFERROR(IF(INDEX('Spending by Category'!$N$5:$N$505,MATCH(1,INDEX(('Spending by Category'!$B$5:$B$505=$B41)*('Spending by Category'!$D$5:$D$505=$D41),0),0))="","",INDEX('Spending by Category'!$N$5:$N$505,MATCH(1,INDEX(('Spending by Category'!$B$5:$B$505=$B41)*('Spending by Category'!$D$5:$D$505=$D41),0),0))),"")</f>
        <v>2.6373059775899339E-2</v>
      </c>
      <c r="O41" s="14">
        <f>IFERROR(IF(INDEX('Spending by Category'!$O$5:$O$505,MATCH(1,INDEX(('Spending by Category'!$B$5:$B$505=$B41)*('Spending by Category'!$D$5:$D$505=$D41),0),0))="","",INDEX('Spending by Category'!$O$5:$O$505,MATCH(1,INDEX(('Spending by Category'!$B$5:$B$505=$B41)*('Spending by Category'!$D$5:$D$505=$D41),0),0))),"")</f>
        <v>0.15964854354088151</v>
      </c>
      <c r="P41" s="14">
        <f>IFERROR(IF(INDEX('Spending by Category'!$P$5:$P$505,MATCH(1,INDEX(('Spending by Category'!$B$5:$B$505=$B41)*('Spending by Category'!$D$5:$D$505=$D41),0),0))="","",INDEX('Spending by Category'!$P$5:$P$505,MATCH(1,INDEX(('Spending by Category'!$B$5:$B$505=$B41)*('Spending by Category'!$D$5:$D$505=$D41),0),0))),"")</f>
        <v>0.38229347785424189</v>
      </c>
      <c r="Q41" s="14" t="str">
        <f>IFERROR(IF(INDEX('Spending by Category'!$Q$5:$Q$505,MATCH(1,INDEX(('Spending by Category'!$B$5:$B$505=$B41)*('Spending by Category'!$D$5:$D$505=$D41),0),0))="","",INDEX('Spending by Category'!$Q$5:$Q$505,MATCH(1,INDEX(('Spending by Category'!$B$5:$B$505=$B41)*('Spending by Category'!$D$5:$D$505=$D41),0),0))),"")</f>
        <v/>
      </c>
      <c r="R41" s="14">
        <f>IFERROR(IF(INDEX('Spending by Category'!$R$5:$R$505,MATCH(1,INDEX(('Spending by Category'!$B$5:$B$505=$B41)*('Spending by Category'!$D$5:$D$505=$D41),0),0))="","",INDEX('Spending by Category'!$R$5:$R$505,MATCH(1,INDEX(('Spending by Category'!$B$5:$B$505=$B41)*('Spending by Category'!$D$5:$D$505=$D41),0),0))),"")</f>
        <v>1</v>
      </c>
      <c r="S41" s="14" t="str">
        <f>IFERROR(IF(INDEX('Spending by Category'!$Z$5:$Z$505,MATCH(1,INDEX(('Spending by Category'!$B$5:$B$505=$B41)*('Spending by Category'!$D$5:$D$505=$D41),0),0))="","",INDEX('Spending by Category'!$Z$5:$Z$505,MATCH(1,INDEX(('Spending by Category'!$B$5:$B$505=$B41)*('Spending by Category'!$D$5:$D$505=$D41),0),0))),"")</f>
        <v/>
      </c>
    </row>
    <row r="42" spans="1:19" x14ac:dyDescent="0.2">
      <c r="A42" s="6" t="s">
        <v>148</v>
      </c>
      <c r="B42" s="6" t="s">
        <v>149</v>
      </c>
      <c r="C42" s="6"/>
      <c r="D42" s="15" t="str">
        <f>TEXT(SUMPRODUCT(MAX(('Spending by Category'!$B$5:$B$505=$B42)*('Spending by Category'!$D$5:$D$505+0))),"0")</f>
        <v>2022</v>
      </c>
      <c r="E42" s="15" t="str">
        <f>INDEX('Spending by Category'!$E$5:$E$505,MATCH(1,INDEX(('Spending by Category'!$B$5:$B$505=$B42)*('Spending by Category'!$D$5:$D$505=$D42),0),0))</f>
        <v>Central government (budgetary)</v>
      </c>
      <c r="F42" s="14">
        <f>IFERROR(IF(INDEX('Spending by Category'!$F$5:$F$505,MATCH(1,INDEX(('Spending by Category'!$B$5:$B$505=$B42)*('Spending by Category'!$D$5:$D$505=$D42),0),0))="","",INDEX('Spending by Category'!$F$5:$F$505,MATCH(1,INDEX(('Spending by Category'!$B$5:$B$505=$B42)*('Spending by Category'!$D$5:$D$505=$D42),0),0))),"")</f>
        <v>0.36271035867442603</v>
      </c>
      <c r="G42" s="14">
        <f>IFERROR(IF(INDEX('Spending by Category'!$G$5:$G$505,MATCH(1,INDEX(('Spending by Category'!$B$5:$B$505=$B42)*('Spending by Category'!$D$5:$D$505=$D42),0),0))="","",INDEX('Spending by Category'!$G$5:$G$505,MATCH(1,INDEX(('Spending by Category'!$B$5:$B$505=$B42)*('Spending by Category'!$D$5:$D$505=$D42),0),0))),"")</f>
        <v>1.9103220017952002E-2</v>
      </c>
      <c r="H42" s="14">
        <f>IFERROR(IF(INDEX('Spending by Category'!$H$5:$H$505,MATCH(1,INDEX(('Spending by Category'!$B$5:$B$505=$B42)*('Spending by Category'!$D$5:$D$505=$D42),0),0))="","",INDEX('Spending by Category'!$H$5:$H$505,MATCH(1,INDEX(('Spending by Category'!$B$5:$B$505=$B42)*('Spending by Category'!$D$5:$D$505=$D42),0),0))),"")</f>
        <v>7.2286599062006698E-2</v>
      </c>
      <c r="I42" s="14">
        <f>IFERROR(IF(INDEX('Spending by Category'!$I$5:$I$505,MATCH(1,INDEX(('Spending by Category'!$B$5:$B$505=$B42)*('Spending by Category'!$D$5:$D$505=$D42),0),0))="","",INDEX('Spending by Category'!$I$5:$I$505,MATCH(1,INDEX(('Spending by Category'!$B$5:$B$505=$B42)*('Spending by Category'!$D$5:$D$505=$D42),0),0))),"")</f>
        <v>6.6616892122446899E-3</v>
      </c>
      <c r="J42" s="14">
        <f>IFERROR(IF(INDEX('Spending by Category'!$J$5:$J$505,MATCH(1,INDEX(('Spending by Category'!$B$5:$B$505=$B42)*('Spending by Category'!$D$5:$D$505=$D42),0),0))="","",INDEX('Spending by Category'!$J$5:$J$505,MATCH(1,INDEX(('Spending by Category'!$B$5:$B$505=$B42)*('Spending by Category'!$D$5:$D$505=$D42),0),0))),"")</f>
        <v>0.15979848592785001</v>
      </c>
      <c r="K42" s="14">
        <f>IFERROR(IF(INDEX('Spending by Category'!$K$5:$K$505,MATCH(1,INDEX(('Spending by Category'!$B$5:$B$505=$B42)*('Spending by Category'!$D$5:$D$505=$D42),0),0))="","",INDEX('Spending by Category'!$K$5:$K$505,MATCH(1,INDEX(('Spending by Category'!$B$5:$B$505=$B42)*('Spending by Category'!$D$5:$D$505=$D42),0),0))),"")</f>
        <v>2.13393595740097E-2</v>
      </c>
      <c r="L42" s="14">
        <f>IFERROR(IF(INDEX('Spending by Category'!$L$5:$L$505,MATCH(1,INDEX(('Spending by Category'!$B$5:$B$505=$B42)*('Spending by Category'!$D$5:$D$505=$D42),0),0))="","",INDEX('Spending by Category'!$L$5:$L$505,MATCH(1,INDEX(('Spending by Category'!$B$5:$B$505=$B42)*('Spending by Category'!$D$5:$D$505=$D42),0),0))),"")</f>
        <v>1.34392796741563E-2</v>
      </c>
      <c r="M42" s="16">
        <f>IFERROR(IF(INDEX('Spending by Category'!$M$5:$M$505,MATCH(1,INDEX(('Spending by Category'!$B$5:$B$505=$B42)*('Spending by Category'!$D$5:$D$505=$D42),0),0))="","",INDEX('Spending by Category'!$M$5:$M$505,MATCH(1,INDEX(('Spending by Category'!$B$5:$B$505=$B42)*('Spending by Category'!$D$5:$D$505=$D42),0),0))),"")</f>
        <v>0.1132155439696365</v>
      </c>
      <c r="N42" s="14">
        <f>IFERROR(IF(INDEX('Spending by Category'!$N$5:$N$505,MATCH(1,INDEX(('Spending by Category'!$B$5:$B$505=$B42)*('Spending by Category'!$D$5:$D$505=$D42),0),0))="","",INDEX('Spending by Category'!$N$5:$N$505,MATCH(1,INDEX(('Spending by Category'!$B$5:$B$505=$B42)*('Spending by Category'!$D$5:$D$505=$D42),0),0))),"")</f>
        <v>6.4132230902270507E-3</v>
      </c>
      <c r="O42" s="14">
        <f>IFERROR(IF(INDEX('Spending by Category'!$O$5:$O$505,MATCH(1,INDEX(('Spending by Category'!$B$5:$B$505=$B42)*('Spending by Category'!$D$5:$D$505=$D42),0),0))="","",INDEX('Spending by Category'!$O$5:$O$505,MATCH(1,INDEX(('Spending by Category'!$B$5:$B$505=$B42)*('Spending by Category'!$D$5:$D$505=$D42),0),0))),"")</f>
        <v>0.17351727088781799</v>
      </c>
      <c r="P42" s="14">
        <f>IFERROR(IF(INDEX('Spending by Category'!$P$5:$P$505,MATCH(1,INDEX(('Spending by Category'!$B$5:$B$505=$B42)*('Spending by Category'!$D$5:$D$505=$D42),0),0))="","",INDEX('Spending by Category'!$P$5:$P$505,MATCH(1,INDEX(('Spending by Category'!$B$5:$B$505=$B42)*('Spending by Category'!$D$5:$D$505=$D42),0),0))),"")</f>
        <v>5.1514969909672102E-2</v>
      </c>
      <c r="Q42" s="14" t="str">
        <f>IFERROR(IF(INDEX('Spending by Category'!$Q$5:$Q$505,MATCH(1,INDEX(('Spending by Category'!$B$5:$B$505=$B42)*('Spending by Category'!$D$5:$D$505=$D42),0),0))="","",INDEX('Spending by Category'!$Q$5:$Q$505,MATCH(1,INDEX(('Spending by Category'!$B$5:$B$505=$B42)*('Spending by Category'!$D$5:$D$505=$D42),0),0))),"")</f>
        <v/>
      </c>
      <c r="R42" s="14">
        <f>IFERROR(IF(INDEX('Spending by Category'!$R$5:$R$505,MATCH(1,INDEX(('Spending by Category'!$B$5:$B$505=$B42)*('Spending by Category'!$D$5:$D$505=$D42),0),0))="","",INDEX('Spending by Category'!$R$5:$R$505,MATCH(1,INDEX(('Spending by Category'!$B$5:$B$505=$B42)*('Spending by Category'!$D$5:$D$505=$D42),0),0))),"")</f>
        <v>0.999999999999999</v>
      </c>
      <c r="S42" s="14">
        <f>IFERROR(IF(INDEX('Spending by Category'!$Z$5:$Z$505,MATCH(1,INDEX(('Spending by Category'!$B$5:$B$505=$B42)*('Spending by Category'!$D$5:$D$505=$D42),0),0))="","",INDEX('Spending by Category'!$Z$5:$Z$505,MATCH(1,INDEX(('Spending by Category'!$B$5:$B$505=$B42)*('Spending by Category'!$D$5:$D$505=$D42),0),0))),"")</f>
        <v>8.3445749299999983E-2</v>
      </c>
    </row>
    <row r="43" spans="1:19" x14ac:dyDescent="0.2">
      <c r="A43" s="6" t="s">
        <v>154</v>
      </c>
      <c r="B43" s="6" t="s">
        <v>155</v>
      </c>
      <c r="C43" s="6"/>
      <c r="D43" s="15" t="str">
        <f>TEXT(SUMPRODUCT(MAX(('Spending by Category'!$B$5:$B$505=$B43)*('Spending by Category'!$D$5:$D$505+0))),"0")</f>
        <v>2024</v>
      </c>
      <c r="E43" s="15" t="str">
        <f>INDEX('Spending by Category'!$E$5:$E$505,MATCH(1,INDEX(('Spending by Category'!$B$5:$B$505=$B43)*('Spending by Category'!$D$5:$D$505=$D43),0),0))</f>
        <v>General government</v>
      </c>
      <c r="F43" s="14">
        <f>IFERROR(IF(INDEX('Spending by Category'!$F$5:$F$505,MATCH(1,INDEX(('Spending by Category'!$B$5:$B$505=$B43)*('Spending by Category'!$D$5:$D$505=$D43),0),0))="","",INDEX('Spending by Category'!$F$5:$F$505,MATCH(1,INDEX(('Spending by Category'!$B$5:$B$505=$B43)*('Spending by Category'!$D$5:$D$505=$D43),0),0))),"")</f>
        <v>0.30357549700613251</v>
      </c>
      <c r="G43" s="14">
        <f>IFERROR(IF(INDEX('Spending by Category'!$G$5:$G$505,MATCH(1,INDEX(('Spending by Category'!$B$5:$B$505=$B43)*('Spending by Category'!$D$5:$D$505=$D43),0),0))="","",INDEX('Spending by Category'!$G$5:$G$505,MATCH(1,INDEX(('Spending by Category'!$B$5:$B$505=$B43)*('Spending by Category'!$D$5:$D$505=$D43),0),0))),"")</f>
        <v>5.1690360463418229E-3</v>
      </c>
      <c r="H43" s="14">
        <f>IFERROR(IF(INDEX('Spending by Category'!$H$5:$H$505,MATCH(1,INDEX(('Spending by Category'!$B$5:$B$505=$B43)*('Spending by Category'!$D$5:$D$505=$D43),0),0))="","",INDEX('Spending by Category'!$H$5:$H$505,MATCH(1,INDEX(('Spending by Category'!$B$5:$B$505=$B43)*('Spending by Category'!$D$5:$D$505=$D43),0),0))),"")</f>
        <v>0.1399957257407011</v>
      </c>
      <c r="I43" s="14">
        <f>IFERROR(IF(INDEX('Spending by Category'!$I$5:$I$505,MATCH(1,INDEX(('Spending by Category'!$B$5:$B$505=$B43)*('Spending by Category'!$D$5:$D$505=$D43),0),0))="","",INDEX('Spending by Category'!$I$5:$I$505,MATCH(1,INDEX(('Spending by Category'!$B$5:$B$505=$B43)*('Spending by Category'!$D$5:$D$505=$D43),0),0))),"")</f>
        <v>0.1843960599327473</v>
      </c>
      <c r="J43" s="14">
        <f>IFERROR(IF(INDEX('Spending by Category'!$J$5:$J$505,MATCH(1,INDEX(('Spending by Category'!$B$5:$B$505=$B43)*('Spending by Category'!$D$5:$D$505=$D43),0),0))="","",INDEX('Spending by Category'!$J$5:$J$505,MATCH(1,INDEX(('Spending by Category'!$B$5:$B$505=$B43)*('Spending by Category'!$D$5:$D$505=$D43),0),0))),"")</f>
        <v>0.2346124105622068</v>
      </c>
      <c r="K43" s="14">
        <f>IFERROR(IF(INDEX('Spending by Category'!$K$5:$K$505,MATCH(1,INDEX(('Spending by Category'!$B$5:$B$505=$B43)*('Spending by Category'!$D$5:$D$505=$D43),0),0))="","",INDEX('Spending by Category'!$K$5:$K$505,MATCH(1,INDEX(('Spending by Category'!$B$5:$B$505=$B43)*('Spending by Category'!$D$5:$D$505=$D43),0),0))),"")</f>
        <v>2.417383799829725E-3</v>
      </c>
      <c r="L43" s="14">
        <f>IFERROR(IF(INDEX('Spending by Category'!$L$5:$L$505,MATCH(1,INDEX(('Spending by Category'!$B$5:$B$505=$B43)*('Spending by Category'!$D$5:$D$505=$D43),0),0))="","",INDEX('Spending by Category'!$L$5:$L$505,MATCH(1,INDEX(('Spending by Category'!$B$5:$B$505=$B43)*('Spending by Category'!$D$5:$D$505=$D43),0),0))),"")</f>
        <v>1.35945523767212E-2</v>
      </c>
      <c r="M43" s="16">
        <f>IFERROR(IF(INDEX('Spending by Category'!$M$5:$M$505,MATCH(1,INDEX(('Spending by Category'!$B$5:$B$505=$B43)*('Spending by Category'!$D$5:$D$505=$D43),0),0))="","",INDEX('Spending by Category'!$M$5:$M$505,MATCH(1,INDEX(('Spending by Category'!$B$5:$B$505=$B43)*('Spending by Category'!$D$5:$D$505=$D43),0),0))),"")</f>
        <v>6.3120109041430394E-2</v>
      </c>
      <c r="N43" s="14">
        <f>IFERROR(IF(INDEX('Spending by Category'!$N$5:$N$505,MATCH(1,INDEX(('Spending by Category'!$B$5:$B$505=$B43)*('Spending by Category'!$D$5:$D$505=$D43),0),0))="","",INDEX('Spending by Category'!$N$5:$N$505,MATCH(1,INDEX(('Spending by Category'!$B$5:$B$505=$B43)*('Spending by Category'!$D$5:$D$505=$D43),0),0))),"")</f>
        <v>5.2450484135677699E-3</v>
      </c>
      <c r="O43" s="14">
        <f>IFERROR(IF(INDEX('Spending by Category'!$O$5:$O$505,MATCH(1,INDEX(('Spending by Category'!$B$5:$B$505=$B43)*('Spending by Category'!$D$5:$D$505=$D43),0),0))="","",INDEX('Spending by Category'!$O$5:$O$505,MATCH(1,INDEX(('Spending by Category'!$B$5:$B$505=$B43)*('Spending by Category'!$D$5:$D$505=$D43),0),0))),"")</f>
        <v>4.4483486880328681E-2</v>
      </c>
      <c r="P43" s="14">
        <f>IFERROR(IF(INDEX('Spending by Category'!$P$5:$P$505,MATCH(1,INDEX(('Spending by Category'!$B$5:$B$505=$B43)*('Spending by Category'!$D$5:$D$505=$D43),0),0))="","",INDEX('Spending by Category'!$P$5:$P$505,MATCH(1,INDEX(('Spending by Category'!$B$5:$B$505=$B43)*('Spending by Category'!$D$5:$D$505=$D43),0),0))),"")</f>
        <v>3.390690199992683E-3</v>
      </c>
      <c r="Q43" s="14" t="str">
        <f>IFERROR(IF(INDEX('Spending by Category'!$Q$5:$Q$505,MATCH(1,INDEX(('Spending by Category'!$B$5:$B$505=$B43)*('Spending by Category'!$D$5:$D$505=$D43),0),0))="","",INDEX('Spending by Category'!$Q$5:$Q$505,MATCH(1,INDEX(('Spending by Category'!$B$5:$B$505=$B43)*('Spending by Category'!$D$5:$D$505=$D43),0),0))),"")</f>
        <v/>
      </c>
      <c r="R43" s="14">
        <f>IFERROR(IF(INDEX('Spending by Category'!$R$5:$R$505,MATCH(1,INDEX(('Spending by Category'!$B$5:$B$505=$B43)*('Spending by Category'!$D$5:$D$505=$D43),0),0))="","",INDEX('Spending by Category'!$R$5:$R$505,MATCH(1,INDEX(('Spending by Category'!$B$5:$B$505=$B43)*('Spending by Category'!$D$5:$D$505=$D43),0),0))),"")</f>
        <v>1</v>
      </c>
      <c r="S43" s="14" t="str">
        <f>IFERROR(IF(INDEX('Spending by Category'!$Z$5:$Z$505,MATCH(1,INDEX(('Spending by Category'!$B$5:$B$505=$B43)*('Spending by Category'!$D$5:$D$505=$D43),0),0))="","",INDEX('Spending by Category'!$Z$5:$Z$505,MATCH(1,INDEX(('Spending by Category'!$B$5:$B$505=$B43)*('Spending by Category'!$D$5:$D$505=$D43),0),0))),"")</f>
        <v/>
      </c>
    </row>
    <row r="44" spans="1:19" x14ac:dyDescent="0.2">
      <c r="A44" s="6" t="s">
        <v>156</v>
      </c>
      <c r="B44" s="6" t="s">
        <v>157</v>
      </c>
      <c r="C44" s="6"/>
      <c r="D44" s="15" t="str">
        <f>TEXT(SUMPRODUCT(MAX(('Spending by Category'!$B$5:$B$505=$B44)*('Spending by Category'!$D$5:$D$505+0))),"0")</f>
        <v>2024</v>
      </c>
      <c r="E44" s="15" t="str">
        <f>INDEX('Spending by Category'!$E$5:$E$505,MATCH(1,INDEX(('Spending by Category'!$B$5:$B$505=$B44)*('Spending by Category'!$D$5:$D$505=$D44),0),0))</f>
        <v>General government</v>
      </c>
      <c r="F44" s="14">
        <f>IFERROR(IF(INDEX('Spending by Category'!$F$5:$F$505,MATCH(1,INDEX(('Spending by Category'!$B$5:$B$505=$B44)*('Spending by Category'!$D$5:$D$505=$D44),0),0))="","",INDEX('Spending by Category'!$F$5:$F$505,MATCH(1,INDEX(('Spending by Category'!$B$5:$B$505=$B44)*('Spending by Category'!$D$5:$D$505=$D44),0),0))),"")</f>
        <v>9.0396834705662205E-2</v>
      </c>
      <c r="G44" s="14">
        <f>IFERROR(IF(INDEX('Spending by Category'!$G$5:$G$505,MATCH(1,INDEX(('Spending by Category'!$B$5:$B$505=$B44)*('Spending by Category'!$D$5:$D$505=$D44),0),0))="","",INDEX('Spending by Category'!$G$5:$G$505,MATCH(1,INDEX(('Spending by Category'!$B$5:$B$505=$B44)*('Spending by Category'!$D$5:$D$505=$D44),0),0))),"")</f>
        <v>0.13689856347582929</v>
      </c>
      <c r="H44" s="14">
        <f>IFERROR(IF(INDEX('Spending by Category'!$H$5:$H$505,MATCH(1,INDEX(('Spending by Category'!$B$5:$B$505=$B44)*('Spending by Category'!$D$5:$D$505=$D44),0),0))="","",INDEX('Spending by Category'!$H$5:$H$505,MATCH(1,INDEX(('Spending by Category'!$B$5:$B$505=$B44)*('Spending by Category'!$D$5:$D$505=$D44),0),0))),"")</f>
        <v>1.9215283271504069E-2</v>
      </c>
      <c r="I44" s="14">
        <f>IFERROR(IF(INDEX('Spending by Category'!$I$5:$I$505,MATCH(1,INDEX(('Spending by Category'!$B$5:$B$505=$B44)*('Spending by Category'!$D$5:$D$505=$D44),0),0))="","",INDEX('Spending by Category'!$I$5:$I$505,MATCH(1,INDEX(('Spending by Category'!$B$5:$B$505=$B44)*('Spending by Category'!$D$5:$D$505=$D44),0),0))),"")</f>
        <v>7.3042923867164919E-2</v>
      </c>
      <c r="J44" s="14">
        <f>IFERROR(IF(INDEX('Spending by Category'!$J$5:$J$505,MATCH(1,INDEX(('Spending by Category'!$B$5:$B$505=$B44)*('Spending by Category'!$D$5:$D$505=$D44),0),0))="","",INDEX('Spending by Category'!$J$5:$J$505,MATCH(1,INDEX(('Spending by Category'!$B$5:$B$505=$B44)*('Spending by Category'!$D$5:$D$505=$D44),0),0))),"")</f>
        <v>0.17238433535186851</v>
      </c>
      <c r="K44" s="14">
        <f>IFERROR(IF(INDEX('Spending by Category'!$K$5:$K$505,MATCH(1,INDEX(('Spending by Category'!$B$5:$B$505=$B44)*('Spending by Category'!$D$5:$D$505=$D44),0),0))="","",INDEX('Spending by Category'!$K$5:$K$505,MATCH(1,INDEX(('Spending by Category'!$B$5:$B$505=$B44)*('Spending by Category'!$D$5:$D$505=$D44),0),0))),"")</f>
        <v>6.8101761868638146E-3</v>
      </c>
      <c r="L44" s="14">
        <f>IFERROR(IF(INDEX('Spending by Category'!$L$5:$L$505,MATCH(1,INDEX(('Spending by Category'!$B$5:$B$505=$B44)*('Spending by Category'!$D$5:$D$505=$D44),0),0))="","",INDEX('Spending by Category'!$L$5:$L$505,MATCH(1,INDEX(('Spending by Category'!$B$5:$B$505=$B44)*('Spending by Category'!$D$5:$D$505=$D44),0),0))),"")</f>
        <v>4.1400455667544057E-2</v>
      </c>
      <c r="M44" s="16">
        <f>IFERROR(IF(INDEX('Spending by Category'!$M$5:$M$505,MATCH(1,INDEX(('Spending by Category'!$B$5:$B$505=$B44)*('Spending by Category'!$D$5:$D$505=$D44),0),0))="","",INDEX('Spending by Category'!$M$5:$M$505,MATCH(1,INDEX(('Spending by Category'!$B$5:$B$505=$B44)*('Spending by Category'!$D$5:$D$505=$D44),0),0))),"")</f>
        <v>0.10731209560619466</v>
      </c>
      <c r="N44" s="14">
        <f>IFERROR(IF(INDEX('Spending by Category'!$N$5:$N$505,MATCH(1,INDEX(('Spending by Category'!$B$5:$B$505=$B44)*('Spending by Category'!$D$5:$D$505=$D44),0),0))="","",INDEX('Spending by Category'!$N$5:$N$505,MATCH(1,INDEX(('Spending by Category'!$B$5:$B$505=$B44)*('Spending by Category'!$D$5:$D$505=$D44),0),0))),"")</f>
        <v>1.7611671105889459E-2</v>
      </c>
      <c r="O44" s="14">
        <f>IFERROR(IF(INDEX('Spending by Category'!$O$5:$O$505,MATCH(1,INDEX(('Spending by Category'!$B$5:$B$505=$B44)*('Spending by Category'!$D$5:$D$505=$D44),0),0))="","",INDEX('Spending by Category'!$O$5:$O$505,MATCH(1,INDEX(('Spending by Category'!$B$5:$B$505=$B44)*('Spending by Category'!$D$5:$D$505=$D44),0),0))),"")</f>
        <v>0.20506598078574531</v>
      </c>
      <c r="P44" s="14">
        <f>IFERROR(IF(INDEX('Spending by Category'!$P$5:$P$505,MATCH(1,INDEX(('Spending by Category'!$B$5:$B$505=$B44)*('Spending by Category'!$D$5:$D$505=$D44),0),0))="","",INDEX('Spending by Category'!$P$5:$P$505,MATCH(1,INDEX(('Spending by Category'!$B$5:$B$505=$B44)*('Spending by Category'!$D$5:$D$505=$D44),0),0))),"")</f>
        <v>0.12986167997573519</v>
      </c>
      <c r="Q44" s="14" t="str">
        <f>IFERROR(IF(INDEX('Spending by Category'!$Q$5:$Q$505,MATCH(1,INDEX(('Spending by Category'!$B$5:$B$505=$B44)*('Spending by Category'!$D$5:$D$505=$D44),0),0))="","",INDEX('Spending by Category'!$Q$5:$Q$505,MATCH(1,INDEX(('Spending by Category'!$B$5:$B$505=$B44)*('Spending by Category'!$D$5:$D$505=$D44),0),0))),"")</f>
        <v/>
      </c>
      <c r="R44" s="14">
        <f>IFERROR(IF(INDEX('Spending by Category'!$R$5:$R$505,MATCH(1,INDEX(('Spending by Category'!$B$5:$B$505=$B44)*('Spending by Category'!$D$5:$D$505=$D44),0),0))="","",INDEX('Spending by Category'!$R$5:$R$505,MATCH(1,INDEX(('Spending by Category'!$B$5:$B$505=$B44)*('Spending by Category'!$D$5:$D$505=$D44),0),0))),"")</f>
        <v>1.0000000000000016</v>
      </c>
      <c r="S44" s="14" t="str">
        <f>IFERROR(IF(INDEX('Spending by Category'!$Z$5:$Z$505,MATCH(1,INDEX(('Spending by Category'!$B$5:$B$505=$B44)*('Spending by Category'!$D$5:$D$505=$D44),0),0))="","",INDEX('Spending by Category'!$Z$5:$Z$505,MATCH(1,INDEX(('Spending by Category'!$B$5:$B$505=$B44)*('Spending by Category'!$D$5:$D$505=$D44),0),0))),"")</f>
        <v/>
      </c>
    </row>
    <row r="45" spans="1:19" x14ac:dyDescent="0.2">
      <c r="A45" s="6" t="s">
        <v>160</v>
      </c>
      <c r="B45" s="6" t="s">
        <v>161</v>
      </c>
      <c r="C45" s="6"/>
      <c r="D45" s="15" t="str">
        <f>TEXT(SUMPRODUCT(MAX(('Spending by Category'!$B$5:$B$505=$B45)*('Spending by Category'!$D$5:$D$505+0))),"0")</f>
        <v>2024</v>
      </c>
      <c r="E45" s="15" t="str">
        <f>INDEX('Spending by Category'!$E$5:$E$505,MATCH(1,INDEX(('Spending by Category'!$B$5:$B$505=$B45)*('Spending by Category'!$D$5:$D$505=$D45),0),0))</f>
        <v>General government</v>
      </c>
      <c r="F45" s="14">
        <f>IFERROR(IF(INDEX('Spending by Category'!$F$5:$F$505,MATCH(1,INDEX(('Spending by Category'!$B$5:$B$505=$B45)*('Spending by Category'!$D$5:$D$505=$D45),0),0))="","",INDEX('Spending by Category'!$F$5:$F$505,MATCH(1,INDEX(('Spending by Category'!$B$5:$B$505=$B45)*('Spending by Category'!$D$5:$D$505=$D45),0),0))),"")</f>
        <v>5.8578824477744353E-2</v>
      </c>
      <c r="G45" s="14">
        <f>IFERROR(IF(INDEX('Spending by Category'!$G$5:$G$505,MATCH(1,INDEX(('Spending by Category'!$B$5:$B$505=$B45)*('Spending by Category'!$D$5:$D$505=$D45),0),0))="","",INDEX('Spending by Category'!$G$5:$G$505,MATCH(1,INDEX(('Spending by Category'!$B$5:$B$505=$B45)*('Spending by Category'!$D$5:$D$505=$D45),0),0))),"")</f>
        <v>2.2213863155693139E-2</v>
      </c>
      <c r="H45" s="14">
        <f>IFERROR(IF(INDEX('Spending by Category'!$H$5:$H$505,MATCH(1,INDEX(('Spending by Category'!$B$5:$B$505=$B45)*('Spending by Category'!$D$5:$D$505=$D45),0),0))="","",INDEX('Spending by Category'!$H$5:$H$505,MATCH(1,INDEX(('Spending by Category'!$B$5:$B$505=$B45)*('Spending by Category'!$D$5:$D$505=$D45),0),0))),"")</f>
        <v>0.1163426290947966</v>
      </c>
      <c r="I45" s="14">
        <f>IFERROR(IF(INDEX('Spending by Category'!$I$5:$I$505,MATCH(1,INDEX(('Spending by Category'!$B$5:$B$505=$B45)*('Spending by Category'!$D$5:$D$505=$D45),0),0))="","",INDEX('Spending by Category'!$I$5:$I$505,MATCH(1,INDEX(('Spending by Category'!$B$5:$B$505=$B45)*('Spending by Category'!$D$5:$D$505=$D45),0),0))),"")</f>
        <v>0</v>
      </c>
      <c r="J45" s="14">
        <f>IFERROR(IF(INDEX('Spending by Category'!$J$5:$J$505,MATCH(1,INDEX(('Spending by Category'!$B$5:$B$505=$B45)*('Spending by Category'!$D$5:$D$505=$D45),0),0))="","",INDEX('Spending by Category'!$J$5:$J$505,MATCH(1,INDEX(('Spending by Category'!$B$5:$B$505=$B45)*('Spending by Category'!$D$5:$D$505=$D45),0),0))),"")</f>
        <v>0.25570155319407528</v>
      </c>
      <c r="K45" s="14">
        <f>IFERROR(IF(INDEX('Spending by Category'!$K$5:$K$505,MATCH(1,INDEX(('Spending by Category'!$B$5:$B$505=$B45)*('Spending by Category'!$D$5:$D$505=$D45),0),0))="","",INDEX('Spending by Category'!$K$5:$K$505,MATCH(1,INDEX(('Spending by Category'!$B$5:$B$505=$B45)*('Spending by Category'!$D$5:$D$505=$D45),0),0))),"")</f>
        <v>1.5049708889103799E-2</v>
      </c>
      <c r="L45" s="14">
        <f>IFERROR(IF(INDEX('Spending by Category'!$L$5:$L$505,MATCH(1,INDEX(('Spending by Category'!$B$5:$B$505=$B45)*('Spending by Category'!$D$5:$D$505=$D45),0),0))="","",INDEX('Spending by Category'!$L$5:$L$505,MATCH(1,INDEX(('Spending by Category'!$B$5:$B$505=$B45)*('Spending by Category'!$D$5:$D$505=$D45),0),0))),"")</f>
        <v>3.9502908051979722E-2</v>
      </c>
      <c r="M45" s="16">
        <f>IFERROR(IF(INDEX('Spending by Category'!$M$5:$M$505,MATCH(1,INDEX(('Spending by Category'!$B$5:$B$505=$B45)*('Spending by Category'!$D$5:$D$505=$D45),0),0))="","",INDEX('Spending by Category'!$M$5:$M$505,MATCH(1,INDEX(('Spending by Category'!$B$5:$B$505=$B45)*('Spending by Category'!$D$5:$D$505=$D45),0),0))),"")</f>
        <v>9.1661732782403874E-2</v>
      </c>
      <c r="N45" s="14">
        <f>IFERROR(IF(INDEX('Spending by Category'!$N$5:$N$505,MATCH(1,INDEX(('Spending by Category'!$B$5:$B$505=$B45)*('Spending by Category'!$D$5:$D$505=$D45),0),0))="","",INDEX('Spending by Category'!$N$5:$N$505,MATCH(1,INDEX(('Spending by Category'!$B$5:$B$505=$B45)*('Spending by Category'!$D$5:$D$505=$D45),0),0))),"")</f>
        <v>5.418667214398229E-2</v>
      </c>
      <c r="O45" s="14">
        <f>IFERROR(IF(INDEX('Spending by Category'!$O$5:$O$505,MATCH(1,INDEX(('Spending by Category'!$B$5:$B$505=$B45)*('Spending by Category'!$D$5:$D$505=$D45),0),0))="","",INDEX('Spending by Category'!$O$5:$O$505,MATCH(1,INDEX(('Spending by Category'!$B$5:$B$505=$B45)*('Spending by Category'!$D$5:$D$505=$D45),0),0))),"")</f>
        <v>0.2069526017426076</v>
      </c>
      <c r="P45" s="14">
        <f>IFERROR(IF(INDEX('Spending by Category'!$P$5:$P$505,MATCH(1,INDEX(('Spending by Category'!$B$5:$B$505=$B45)*('Spending by Category'!$D$5:$D$505=$D45),0),0))="","",INDEX('Spending by Category'!$P$5:$P$505,MATCH(1,INDEX(('Spending by Category'!$B$5:$B$505=$B45)*('Spending by Category'!$D$5:$D$505=$D45),0),0))),"")</f>
        <v>0.13980950646761339</v>
      </c>
      <c r="Q45" s="14" t="str">
        <f>IFERROR(IF(INDEX('Spending by Category'!$Q$5:$Q$505,MATCH(1,INDEX(('Spending by Category'!$B$5:$B$505=$B45)*('Spending by Category'!$D$5:$D$505=$D45),0),0))="","",INDEX('Spending by Category'!$Q$5:$Q$505,MATCH(1,INDEX(('Spending by Category'!$B$5:$B$505=$B45)*('Spending by Category'!$D$5:$D$505=$D45),0),0))),"")</f>
        <v/>
      </c>
      <c r="R45" s="14">
        <f>IFERROR(IF(INDEX('Spending by Category'!$R$5:$R$505,MATCH(1,INDEX(('Spending by Category'!$B$5:$B$505=$B45)*('Spending by Category'!$D$5:$D$505=$D45),0),0))="","",INDEX('Spending by Category'!$R$5:$R$505,MATCH(1,INDEX(('Spending by Category'!$B$5:$B$505=$B45)*('Spending by Category'!$D$5:$D$505=$D45),0),0))),"")</f>
        <v>1.0000000000000002</v>
      </c>
      <c r="S45" s="14" t="str">
        <f>IFERROR(IF(INDEX('Spending by Category'!$Z$5:$Z$505,MATCH(1,INDEX(('Spending by Category'!$B$5:$B$505=$B45)*('Spending by Category'!$D$5:$D$505=$D45),0),0))="","",INDEX('Spending by Category'!$Z$5:$Z$505,MATCH(1,INDEX(('Spending by Category'!$B$5:$B$505=$B45)*('Spending by Category'!$D$5:$D$505=$D45),0),0))),"")</f>
        <v/>
      </c>
    </row>
    <row r="46" spans="1:19" x14ac:dyDescent="0.2">
      <c r="A46" s="6" t="s">
        <v>162</v>
      </c>
      <c r="B46" s="6" t="s">
        <v>163</v>
      </c>
      <c r="C46" s="6"/>
      <c r="D46" s="15" t="str">
        <f>TEXT(SUMPRODUCT(MAX(('Spending by Category'!$B$5:$B$505=$B46)*('Spending by Category'!$D$5:$D$505+0))),"0")</f>
        <v>2012</v>
      </c>
      <c r="E46" s="15" t="str">
        <f>INDEX('Spending by Category'!$E$5:$E$505,MATCH(1,INDEX(('Spending by Category'!$B$5:$B$505=$B46)*('Spending by Category'!$D$5:$D$505=$D46),0),0))</f>
        <v>General government</v>
      </c>
      <c r="F46" s="14">
        <f>IFERROR(IF(INDEX('Spending by Category'!$F$5:$F$505,MATCH(1,INDEX(('Spending by Category'!$B$5:$B$505=$B46)*('Spending by Category'!$D$5:$D$505=$D46),0),0))="","",INDEX('Spending by Category'!$F$5:$F$505,MATCH(1,INDEX(('Spending by Category'!$B$5:$B$505=$B46)*('Spending by Category'!$D$5:$D$505=$D46),0),0))),"")</f>
        <v>0.122360532924601</v>
      </c>
      <c r="G46" s="14" t="str">
        <f>IFERROR(IF(INDEX('Spending by Category'!$G$5:$G$505,MATCH(1,INDEX(('Spending by Category'!$B$5:$B$505=$B46)*('Spending by Category'!$D$5:$D$505=$D46),0),0))="","",INDEX('Spending by Category'!$G$5:$G$505,MATCH(1,INDEX(('Spending by Category'!$B$5:$B$505=$B46)*('Spending by Category'!$D$5:$D$505=$D46),0),0))),"")</f>
        <v/>
      </c>
      <c r="H46" s="14">
        <f>IFERROR(IF(INDEX('Spending by Category'!$H$5:$H$505,MATCH(1,INDEX(('Spending by Category'!$B$5:$B$505=$B46)*('Spending by Category'!$D$5:$D$505=$D46),0),0))="","",INDEX('Spending by Category'!$H$5:$H$505,MATCH(1,INDEX(('Spending by Category'!$B$5:$B$505=$B46)*('Spending by Category'!$D$5:$D$505=$D46),0),0))),"")</f>
        <v>2.74228730189367E-2</v>
      </c>
      <c r="I46" s="14">
        <f>IFERROR(IF(INDEX('Spending by Category'!$I$5:$I$505,MATCH(1,INDEX(('Spending by Category'!$B$5:$B$505=$B46)*('Spending by Category'!$D$5:$D$505=$D46),0),0))="","",INDEX('Spending by Category'!$I$5:$I$505,MATCH(1,INDEX(('Spending by Category'!$B$5:$B$505=$B46)*('Spending by Category'!$D$5:$D$505=$D46),0),0))),"")</f>
        <v>3.3632991896776397E-2</v>
      </c>
      <c r="J46" s="14">
        <f>IFERROR(IF(INDEX('Spending by Category'!$J$5:$J$505,MATCH(1,INDEX(('Spending by Category'!$B$5:$B$505=$B46)*('Spending by Category'!$D$5:$D$505=$D46),0),0))="","",INDEX('Spending by Category'!$J$5:$J$505,MATCH(1,INDEX(('Spending by Category'!$B$5:$B$505=$B46)*('Spending by Category'!$D$5:$D$505=$D46),0),0))),"")</f>
        <v>0.39990790608454801</v>
      </c>
      <c r="K46" s="14">
        <f>IFERROR(IF(INDEX('Spending by Category'!$K$5:$K$505,MATCH(1,INDEX(('Spending by Category'!$B$5:$B$505=$B46)*('Spending by Category'!$D$5:$D$505=$D46),0),0))="","",INDEX('Spending by Category'!$K$5:$K$505,MATCH(1,INDEX(('Spending by Category'!$B$5:$B$505=$B46)*('Spending by Category'!$D$5:$D$505=$D46),0),0))),"")</f>
        <v>1.65715818716021E-3</v>
      </c>
      <c r="L46" s="14">
        <f>IFERROR(IF(INDEX('Spending by Category'!$L$5:$L$505,MATCH(1,INDEX(('Spending by Category'!$B$5:$B$505=$B46)*('Spending by Category'!$D$5:$D$505=$D46),0),0))="","",INDEX('Spending by Category'!$L$5:$L$505,MATCH(1,INDEX(('Spending by Category'!$B$5:$B$505=$B46)*('Spending by Category'!$D$5:$D$505=$D46),0),0))),"")</f>
        <v>1.38323986043136E-2</v>
      </c>
      <c r="M46" s="16">
        <f>IFERROR(IF(INDEX('Spending by Category'!$M$5:$M$505,MATCH(1,INDEX(('Spending by Category'!$B$5:$B$505=$B46)*('Spending by Category'!$D$5:$D$505=$D46),0),0))="","",INDEX('Spending by Category'!$M$5:$M$505,MATCH(1,INDEX(('Spending by Category'!$B$5:$B$505=$B46)*('Spending by Category'!$D$5:$D$505=$D46),0),0))),"")</f>
        <v>3.6604454325883398E-2</v>
      </c>
      <c r="N46" s="14">
        <f>IFERROR(IF(INDEX('Spending by Category'!$N$5:$N$505,MATCH(1,INDEX(('Spending by Category'!$B$5:$B$505=$B46)*('Spending by Category'!$D$5:$D$505=$D46),0),0))="","",INDEX('Spending by Category'!$N$5:$N$505,MATCH(1,INDEX(('Spending by Category'!$B$5:$B$505=$B46)*('Spending by Category'!$D$5:$D$505=$D46),0),0))),"")</f>
        <v>6.7007010251206797E-3</v>
      </c>
      <c r="O46" s="14">
        <f>IFERROR(IF(INDEX('Spending by Category'!$O$5:$O$505,MATCH(1,INDEX(('Spending by Category'!$B$5:$B$505=$B46)*('Spending by Category'!$D$5:$D$505=$D46),0),0))="","",INDEX('Spending by Category'!$O$5:$O$505,MATCH(1,INDEX(('Spending by Category'!$B$5:$B$505=$B46)*('Spending by Category'!$D$5:$D$505=$D46),0),0))),"")</f>
        <v>7.4816728245018699E-2</v>
      </c>
      <c r="P46" s="14">
        <f>IFERROR(IF(INDEX('Spending by Category'!$P$5:$P$505,MATCH(1,INDEX(('Spending by Category'!$B$5:$B$505=$B46)*('Spending by Category'!$D$5:$D$505=$D46),0),0))="","",INDEX('Spending by Category'!$P$5:$P$505,MATCH(1,INDEX(('Spending by Category'!$B$5:$B$505=$B46)*('Spending by Category'!$D$5:$D$505=$D46),0),0))),"")</f>
        <v>0.110199570950044</v>
      </c>
      <c r="Q46" s="14">
        <f>IFERROR(IF(INDEX('Spending by Category'!$Q$5:$Q$505,MATCH(1,INDEX(('Spending by Category'!$B$5:$B$505=$B46)*('Spending by Category'!$D$5:$D$505=$D46),0),0))="","",INDEX('Spending by Category'!$Q$5:$Q$505,MATCH(1,INDEX(('Spending by Category'!$B$5:$B$505=$B46)*('Spending by Category'!$D$5:$D$505=$D46),0),0))),"")</f>
        <v>0.17286468473759731</v>
      </c>
      <c r="R46" s="14">
        <f>IFERROR(IF(INDEX('Spending by Category'!$R$5:$R$505,MATCH(1,INDEX(('Spending by Category'!$B$5:$B$505=$B46)*('Spending by Category'!$D$5:$D$505=$D46),0),0))="","",INDEX('Spending by Category'!$R$5:$R$505,MATCH(1,INDEX(('Spending by Category'!$B$5:$B$505=$B46)*('Spending by Category'!$D$5:$D$505=$D46),0),0))),"")</f>
        <v>1</v>
      </c>
      <c r="S46" s="14">
        <f>IFERROR(IF(INDEX('Spending by Category'!$Z$5:$Z$505,MATCH(1,INDEX(('Spending by Category'!$B$5:$B$505=$B46)*('Spending by Category'!$D$5:$D$505=$D46),0),0))="","",INDEX('Spending by Category'!$Z$5:$Z$505,MATCH(1,INDEX(('Spending by Category'!$B$5:$B$505=$B46)*('Spending by Category'!$D$5:$D$505=$D46),0),0))),"")</f>
        <v>3.2064051599999997E-2</v>
      </c>
    </row>
    <row r="47" spans="1:19" x14ac:dyDescent="0.2">
      <c r="A47" s="6" t="s">
        <v>164</v>
      </c>
      <c r="B47" s="6" t="s">
        <v>165</v>
      </c>
      <c r="C47" s="6"/>
      <c r="D47" s="15" t="str">
        <f>TEXT(SUMPRODUCT(MAX(('Spending by Category'!$B$5:$B$505=$B47)*('Spending by Category'!$D$5:$D$505+0))),"0")</f>
        <v>2023</v>
      </c>
      <c r="E47" s="15" t="str">
        <f>INDEX('Spending by Category'!$E$5:$E$505,MATCH(1,INDEX(('Spending by Category'!$B$5:$B$505=$B47)*('Spending by Category'!$D$5:$D$505=$D47),0),0))</f>
        <v>Central government (budgetary)</v>
      </c>
      <c r="F47" s="14">
        <f>IFERROR(IF(INDEX('Spending by Category'!$F$5:$F$505,MATCH(1,INDEX(('Spending by Category'!$B$5:$B$505=$B47)*('Spending by Category'!$D$5:$D$505=$D47),0),0))="","",INDEX('Spending by Category'!$F$5:$F$505,MATCH(1,INDEX(('Spending by Category'!$B$5:$B$505=$B47)*('Spending by Category'!$D$5:$D$505=$D47),0),0))),"")</f>
        <v>0.2857947377064054</v>
      </c>
      <c r="G47" s="14" t="str">
        <f>IFERROR(IF(INDEX('Spending by Category'!$G$5:$G$505,MATCH(1,INDEX(('Spending by Category'!$B$5:$B$505=$B47)*('Spending by Category'!$D$5:$D$505=$D47),0),0))="","",INDEX('Spending by Category'!$G$5:$G$505,MATCH(1,INDEX(('Spending by Category'!$B$5:$B$505=$B47)*('Spending by Category'!$D$5:$D$505=$D47),0),0))),"")</f>
        <v/>
      </c>
      <c r="H47" s="14">
        <f>IFERROR(IF(INDEX('Spending by Category'!$H$5:$H$505,MATCH(1,INDEX(('Spending by Category'!$B$5:$B$505=$B47)*('Spending by Category'!$D$5:$D$505=$D47),0),0))="","",INDEX('Spending by Category'!$H$5:$H$505,MATCH(1,INDEX(('Spending by Category'!$B$5:$B$505=$B47)*('Spending by Category'!$D$5:$D$505=$D47),0),0))),"")</f>
        <v>8.026046176360771E-2</v>
      </c>
      <c r="I47" s="14">
        <f>IFERROR(IF(INDEX('Spending by Category'!$I$5:$I$505,MATCH(1,INDEX(('Spending by Category'!$B$5:$B$505=$B47)*('Spending by Category'!$D$5:$D$505=$D47),0),0))="","",INDEX('Spending by Category'!$I$5:$I$505,MATCH(1,INDEX(('Spending by Category'!$B$5:$B$505=$B47)*('Spending by Category'!$D$5:$D$505=$D47),0),0))),"")</f>
        <v>2.0896772478462351E-2</v>
      </c>
      <c r="J47" s="14">
        <f>IFERROR(IF(INDEX('Spending by Category'!$J$5:$J$505,MATCH(1,INDEX(('Spending by Category'!$B$5:$B$505=$B47)*('Spending by Category'!$D$5:$D$505=$D47),0),0))="","",INDEX('Spending by Category'!$J$5:$J$505,MATCH(1,INDEX(('Spending by Category'!$B$5:$B$505=$B47)*('Spending by Category'!$D$5:$D$505=$D47),0),0))),"")</f>
        <v>0.22232473845006029</v>
      </c>
      <c r="K47" s="14">
        <f>IFERROR(IF(INDEX('Spending by Category'!$K$5:$K$505,MATCH(1,INDEX(('Spending by Category'!$B$5:$B$505=$B47)*('Spending by Category'!$D$5:$D$505=$D47),0),0))="","",INDEX('Spending by Category'!$K$5:$K$505,MATCH(1,INDEX(('Spending by Category'!$B$5:$B$505=$B47)*('Spending by Category'!$D$5:$D$505=$D47),0),0))),"")</f>
        <v>1.0970744051453679E-2</v>
      </c>
      <c r="L47" s="14">
        <f>IFERROR(IF(INDEX('Spending by Category'!$L$5:$L$505,MATCH(1,INDEX(('Spending by Category'!$B$5:$B$505=$B47)*('Spending by Category'!$D$5:$D$505=$D47),0),0))="","",INDEX('Spending by Category'!$L$5:$L$505,MATCH(1,INDEX(('Spending by Category'!$B$5:$B$505=$B47)*('Spending by Category'!$D$5:$D$505=$D47),0),0))),"")</f>
        <v>3.153621515607663E-2</v>
      </c>
      <c r="M47" s="16">
        <f>IFERROR(IF(INDEX('Spending by Category'!$M$5:$M$505,MATCH(1,INDEX(('Spending by Category'!$B$5:$B$505=$B47)*('Spending by Category'!$D$5:$D$505=$D47),0),0))="","",INDEX('Spending by Category'!$M$5:$M$505,MATCH(1,INDEX(('Spending by Category'!$B$5:$B$505=$B47)*('Spending by Category'!$D$5:$D$505=$D47),0),0))),"")</f>
        <v>7.2866960952306409E-2</v>
      </c>
      <c r="N47" s="14">
        <f>IFERROR(IF(INDEX('Spending by Category'!$N$5:$N$505,MATCH(1,INDEX(('Spending by Category'!$B$5:$B$505=$B47)*('Spending by Category'!$D$5:$D$505=$D47),0),0))="","",INDEX('Spending by Category'!$N$5:$N$505,MATCH(1,INDEX(('Spending by Category'!$B$5:$B$505=$B47)*('Spending by Category'!$D$5:$D$505=$D47),0),0))),"")</f>
        <v>6.6942874469390137E-3</v>
      </c>
      <c r="O47" s="14">
        <f>IFERROR(IF(INDEX('Spending by Category'!$O$5:$O$505,MATCH(1,INDEX(('Spending by Category'!$B$5:$B$505=$B47)*('Spending by Category'!$D$5:$D$505=$D47),0),0))="","",INDEX('Spending by Category'!$O$5:$O$505,MATCH(1,INDEX(('Spending by Category'!$B$5:$B$505=$B47)*('Spending by Category'!$D$5:$D$505=$D47),0),0))),"")</f>
        <v>0.14519250135258219</v>
      </c>
      <c r="P47" s="14">
        <f>IFERROR(IF(INDEX('Spending by Category'!$P$5:$P$505,MATCH(1,INDEX(('Spending by Category'!$B$5:$B$505=$B47)*('Spending by Category'!$D$5:$D$505=$D47),0),0))="","",INDEX('Spending by Category'!$P$5:$P$505,MATCH(1,INDEX(('Spending by Category'!$B$5:$B$505=$B47)*('Spending by Category'!$D$5:$D$505=$D47),0),0))),"")</f>
        <v>0.12346258064210899</v>
      </c>
      <c r="Q47" s="14" t="str">
        <f>IFERROR(IF(INDEX('Spending by Category'!$Q$5:$Q$505,MATCH(1,INDEX(('Spending by Category'!$B$5:$B$505=$B47)*('Spending by Category'!$D$5:$D$505=$D47),0),0))="","",INDEX('Spending by Category'!$Q$5:$Q$505,MATCH(1,INDEX(('Spending by Category'!$B$5:$B$505=$B47)*('Spending by Category'!$D$5:$D$505=$D47),0),0))),"")</f>
        <v/>
      </c>
      <c r="R47" s="14">
        <f>IFERROR(IF(INDEX('Spending by Category'!$R$5:$R$505,MATCH(1,INDEX(('Spending by Category'!$B$5:$B$505=$B47)*('Spending by Category'!$D$5:$D$505=$D47),0),0))="","",INDEX('Spending by Category'!$R$5:$R$505,MATCH(1,INDEX(('Spending by Category'!$B$5:$B$505=$B47)*('Spending by Category'!$D$5:$D$505=$D47),0),0))),"")</f>
        <v>1.0000000000000027</v>
      </c>
      <c r="S47" s="14">
        <f>IFERROR(IF(INDEX('Spending by Category'!$Z$5:$Z$505,MATCH(1,INDEX(('Spending by Category'!$B$5:$B$505=$B47)*('Spending by Category'!$D$5:$D$505=$D47),0),0))="","",INDEX('Spending by Category'!$Z$5:$Z$505,MATCH(1,INDEX(('Spending by Category'!$B$5:$B$505=$B47)*('Spending by Category'!$D$5:$D$505=$D47),0),0))),"")</f>
        <v>2.5608844799999999E-2</v>
      </c>
    </row>
    <row r="48" spans="1:19" x14ac:dyDescent="0.2">
      <c r="A48" s="6" t="s">
        <v>166</v>
      </c>
      <c r="B48" s="6" t="s">
        <v>167</v>
      </c>
      <c r="C48" s="6" t="s">
        <v>49</v>
      </c>
      <c r="D48" s="15" t="str">
        <f>TEXT(SUMPRODUCT(MAX(('Spending by Category'!$B$5:$B$505=$B48)*('Spending by Category'!$D$5:$D$505+0))),"0")</f>
        <v>2024</v>
      </c>
      <c r="E48" s="15" t="str">
        <f>INDEX('Spending by Category'!$E$5:$E$505,MATCH(1,INDEX(('Spending by Category'!$B$5:$B$505=$B48)*('Spending by Category'!$D$5:$D$505=$D48),0),0))</f>
        <v>Central government (budgetary)</v>
      </c>
      <c r="F48" s="14">
        <f>IFERROR(IF(INDEX('Spending by Category'!$F$5:$F$505,MATCH(1,INDEX(('Spending by Category'!$B$5:$B$505=$B48)*('Spending by Category'!$D$5:$D$505=$D48),0),0))="","",INDEX('Spending by Category'!$F$5:$F$505,MATCH(1,INDEX(('Spending by Category'!$B$5:$B$505=$B48)*('Spending by Category'!$D$5:$D$505=$D48),0),0))),"")</f>
        <v>0.21645521828217501</v>
      </c>
      <c r="G48" s="14">
        <f>IFERROR(IF(INDEX('Spending by Category'!$G$5:$G$505,MATCH(1,INDEX(('Spending by Category'!$B$5:$B$505=$B48)*('Spending by Category'!$D$5:$D$505=$D48),0),0))="","",INDEX('Spending by Category'!$G$5:$G$505,MATCH(1,INDEX(('Spending by Category'!$B$5:$B$505=$B48)*('Spending by Category'!$D$5:$D$505=$D48),0),0))),"")</f>
        <v>0.1643286420913771</v>
      </c>
      <c r="H48" s="14">
        <f>IFERROR(IF(INDEX('Spending by Category'!$H$5:$H$505,MATCH(1,INDEX(('Spending by Category'!$B$5:$B$505=$B48)*('Spending by Category'!$D$5:$D$505=$D48),0),0))="","",INDEX('Spending by Category'!$H$5:$H$505,MATCH(1,INDEX(('Spending by Category'!$B$5:$B$505=$B48)*('Spending by Category'!$D$5:$D$505=$D48),0),0))),"")</f>
        <v>8.1506037800676306E-2</v>
      </c>
      <c r="I48" s="14">
        <f>IFERROR(IF(INDEX('Spending by Category'!$I$5:$I$505,MATCH(1,INDEX(('Spending by Category'!$B$5:$B$505=$B48)*('Spending by Category'!$D$5:$D$505=$D48),0),0))="","",INDEX('Spending by Category'!$I$5:$I$505,MATCH(1,INDEX(('Spending by Category'!$B$5:$B$505=$B48)*('Spending by Category'!$D$5:$D$505=$D48),0),0))),"")</f>
        <v>2.092307135009425E-2</v>
      </c>
      <c r="J48" s="14">
        <f>IFERROR(IF(INDEX('Spending by Category'!$J$5:$J$505,MATCH(1,INDEX(('Spending by Category'!$B$5:$B$505=$B48)*('Spending by Category'!$D$5:$D$505=$D48),0),0))="","",INDEX('Spending by Category'!$J$5:$J$505,MATCH(1,INDEX(('Spending by Category'!$B$5:$B$505=$B48)*('Spending by Category'!$D$5:$D$505=$D48),0),0))),"")</f>
        <v>0.30256365422851722</v>
      </c>
      <c r="K48" s="14">
        <f>IFERROR(IF(INDEX('Spending by Category'!$K$5:$K$505,MATCH(1,INDEX(('Spending by Category'!$B$5:$B$505=$B48)*('Spending by Category'!$D$5:$D$505=$D48),0),0))="","",INDEX('Spending by Category'!$K$5:$K$505,MATCH(1,INDEX(('Spending by Category'!$B$5:$B$505=$B48)*('Spending by Category'!$D$5:$D$505=$D48),0),0))),"")</f>
        <v>1.3502476401821429E-3</v>
      </c>
      <c r="L48" s="14">
        <f>IFERROR(IF(INDEX('Spending by Category'!$L$5:$L$505,MATCH(1,INDEX(('Spending by Category'!$B$5:$B$505=$B48)*('Spending by Category'!$D$5:$D$505=$D48),0),0))="","",INDEX('Spending by Category'!$L$5:$L$505,MATCH(1,INDEX(('Spending by Category'!$B$5:$B$505=$B48)*('Spending by Category'!$D$5:$D$505=$D48),0),0))),"")</f>
        <v>1.2143898542113949E-2</v>
      </c>
      <c r="M48" s="16">
        <f>IFERROR(IF(INDEX('Spending by Category'!$M$5:$M$505,MATCH(1,INDEX(('Spending by Category'!$B$5:$B$505=$B48)*('Spending by Category'!$D$5:$D$505=$D48),0),0))="","",INDEX('Spending by Category'!$M$5:$M$505,MATCH(1,INDEX(('Spending by Category'!$B$5:$B$505=$B48)*('Spending by Category'!$D$5:$D$505=$D48),0),0))),"")</f>
        <v>8.84620972638437E-2</v>
      </c>
      <c r="N48" s="14">
        <f>IFERROR(IF(INDEX('Spending by Category'!$N$5:$N$505,MATCH(1,INDEX(('Spending by Category'!$B$5:$B$505=$B48)*('Spending by Category'!$D$5:$D$505=$D48),0),0))="","",INDEX('Spending by Category'!$N$5:$N$505,MATCH(1,INDEX(('Spending by Category'!$B$5:$B$505=$B48)*('Spending by Category'!$D$5:$D$505=$D48),0),0))),"")</f>
        <v>0</v>
      </c>
      <c r="O48" s="14">
        <f>IFERROR(IF(INDEX('Spending by Category'!$O$5:$O$505,MATCH(1,INDEX(('Spending by Category'!$B$5:$B$505=$B48)*('Spending by Category'!$D$5:$D$505=$D48),0),0))="","",INDEX('Spending by Category'!$O$5:$O$505,MATCH(1,INDEX(('Spending by Category'!$B$5:$B$505=$B48)*('Spending by Category'!$D$5:$D$505=$D48),0),0))),"")</f>
        <v>0.11153490174847901</v>
      </c>
      <c r="P48" s="14">
        <f>IFERROR(IF(INDEX('Spending by Category'!$P$5:$P$505,MATCH(1,INDEX(('Spending by Category'!$B$5:$B$505=$B48)*('Spending by Category'!$D$5:$D$505=$D48),0),0))="","",INDEX('Spending by Category'!$P$5:$P$505,MATCH(1,INDEX(('Spending by Category'!$B$5:$B$505=$B48)*('Spending by Category'!$D$5:$D$505=$D48),0),0))),"")</f>
        <v>7.3223105253943999E-4</v>
      </c>
      <c r="Q48" s="14" t="str">
        <f>IFERROR(IF(INDEX('Spending by Category'!$Q$5:$Q$505,MATCH(1,INDEX(('Spending by Category'!$B$5:$B$505=$B48)*('Spending by Category'!$D$5:$D$505=$D48),0),0))="","",INDEX('Spending by Category'!$Q$5:$Q$505,MATCH(1,INDEX(('Spending by Category'!$B$5:$B$505=$B48)*('Spending by Category'!$D$5:$D$505=$D48),0),0))),"")</f>
        <v/>
      </c>
      <c r="R48" s="14">
        <f>IFERROR(IF(INDEX('Spending by Category'!$R$5:$R$505,MATCH(1,INDEX(('Spending by Category'!$B$5:$B$505=$B48)*('Spending by Category'!$D$5:$D$505=$D48),0),0))="","",INDEX('Spending by Category'!$R$5:$R$505,MATCH(1,INDEX(('Spending by Category'!$B$5:$B$505=$B48)*('Spending by Category'!$D$5:$D$505=$D48),0),0))),"")</f>
        <v>0.999999999999998</v>
      </c>
      <c r="S48" s="14" t="str">
        <f>IFERROR(IF(INDEX('Spending by Category'!$Z$5:$Z$505,MATCH(1,INDEX(('Spending by Category'!$B$5:$B$505=$B48)*('Spending by Category'!$D$5:$D$505=$D48),0),0))="","",INDEX('Spending by Category'!$Z$5:$Z$505,MATCH(1,INDEX(('Spending by Category'!$B$5:$B$505=$B48)*('Spending by Category'!$D$5:$D$505=$D48),0),0))),"")</f>
        <v/>
      </c>
    </row>
    <row r="49" spans="1:19" x14ac:dyDescent="0.2">
      <c r="A49" s="6" t="s">
        <v>168</v>
      </c>
      <c r="B49" s="6" t="s">
        <v>169</v>
      </c>
      <c r="C49" s="6"/>
      <c r="D49" s="15" t="str">
        <f>TEXT(SUMPRODUCT(MAX(('Spending by Category'!$B$5:$B$505=$B49)*('Spending by Category'!$D$5:$D$505+0))),"0")</f>
        <v>2018</v>
      </c>
      <c r="E49" s="15" t="str">
        <f>INDEX('Spending by Category'!$E$5:$E$505,MATCH(1,INDEX(('Spending by Category'!$B$5:$B$505=$B49)*('Spending by Category'!$D$5:$D$505=$D49),0),0))</f>
        <v>Central government (budgetary)</v>
      </c>
      <c r="F49" s="14">
        <f>IFERROR(IF(INDEX('Spending by Category'!$F$5:$F$505,MATCH(1,INDEX(('Spending by Category'!$B$5:$B$505=$B49)*('Spending by Category'!$D$5:$D$505=$D49),0),0))="","",INDEX('Spending by Category'!$F$5:$F$505,MATCH(1,INDEX(('Spending by Category'!$B$5:$B$505=$B49)*('Spending by Category'!$D$5:$D$505=$D49),0),0))),"")</f>
        <v>0.39112818159021312</v>
      </c>
      <c r="G49" s="14" t="str">
        <f>IFERROR(IF(INDEX('Spending by Category'!$G$5:$G$505,MATCH(1,INDEX(('Spending by Category'!$B$5:$B$505=$B49)*('Spending by Category'!$D$5:$D$505=$D49),0),0))="","",INDEX('Spending by Category'!$G$5:$G$505,MATCH(1,INDEX(('Spending by Category'!$B$5:$B$505=$B49)*('Spending by Category'!$D$5:$D$505=$D49),0),0))),"")</f>
        <v/>
      </c>
      <c r="H49" s="14">
        <f>IFERROR(IF(INDEX('Spending by Category'!$H$5:$H$505,MATCH(1,INDEX(('Spending by Category'!$B$5:$B$505=$B49)*('Spending by Category'!$D$5:$D$505=$D49),0),0))="","",INDEX('Spending by Category'!$H$5:$H$505,MATCH(1,INDEX(('Spending by Category'!$B$5:$B$505=$B49)*('Spending by Category'!$D$5:$D$505=$D49),0),0))),"")</f>
        <v>6.278201830331176E-2</v>
      </c>
      <c r="I49" s="14">
        <f>IFERROR(IF(INDEX('Spending by Category'!$I$5:$I$505,MATCH(1,INDEX(('Spending by Category'!$B$5:$B$505=$B49)*('Spending by Category'!$D$5:$D$505=$D49),0),0))="","",INDEX('Spending by Category'!$I$5:$I$505,MATCH(1,INDEX(('Spending by Category'!$B$5:$B$505=$B49)*('Spending by Category'!$D$5:$D$505=$D49),0),0))),"")</f>
        <v>4.352350111993028E-2</v>
      </c>
      <c r="J49" s="14">
        <f>IFERROR(IF(INDEX('Spending by Category'!$J$5:$J$505,MATCH(1,INDEX(('Spending by Category'!$B$5:$B$505=$B49)*('Spending by Category'!$D$5:$D$505=$D49),0),0))="","",INDEX('Spending by Category'!$J$5:$J$505,MATCH(1,INDEX(('Spending by Category'!$B$5:$B$505=$B49)*('Spending by Category'!$D$5:$D$505=$D49),0),0))),"")</f>
        <v>0.189307120740453</v>
      </c>
      <c r="K49" s="14">
        <f>IFERROR(IF(INDEX('Spending by Category'!$K$5:$K$505,MATCH(1,INDEX(('Spending by Category'!$B$5:$B$505=$B49)*('Spending by Category'!$D$5:$D$505=$D49),0),0))="","",INDEX('Spending by Category'!$K$5:$K$505,MATCH(1,INDEX(('Spending by Category'!$B$5:$B$505=$B49)*('Spending by Category'!$D$5:$D$505=$D49),0),0))),"")</f>
        <v>3.9679572925895799E-4</v>
      </c>
      <c r="L49" s="14">
        <f>IFERROR(IF(INDEX('Spending by Category'!$L$5:$L$505,MATCH(1,INDEX(('Spending by Category'!$B$5:$B$505=$B49)*('Spending by Category'!$D$5:$D$505=$D49),0),0))="","",INDEX('Spending by Category'!$L$5:$L$505,MATCH(1,INDEX(('Spending by Category'!$B$5:$B$505=$B49)*('Spending by Category'!$D$5:$D$505=$D49),0),0))),"")</f>
        <v>4.694590526458426E-2</v>
      </c>
      <c r="M49" s="16">
        <f>IFERROR(IF(INDEX('Spending by Category'!$M$5:$M$505,MATCH(1,INDEX(('Spending by Category'!$B$5:$B$505=$B49)*('Spending by Category'!$D$5:$D$505=$D49),0),0))="","",INDEX('Spending by Category'!$M$5:$M$505,MATCH(1,INDEX(('Spending by Category'!$B$5:$B$505=$B49)*('Spending by Category'!$D$5:$D$505=$D49),0),0))),"")</f>
        <v>6.1195224147300012E-2</v>
      </c>
      <c r="N49" s="14">
        <f>IFERROR(IF(INDEX('Spending by Category'!$N$5:$N$505,MATCH(1,INDEX(('Spending by Category'!$B$5:$B$505=$B49)*('Spending by Category'!$D$5:$D$505=$D49),0),0))="","",INDEX('Spending by Category'!$N$5:$N$505,MATCH(1,INDEX(('Spending by Category'!$B$5:$B$505=$B49)*('Spending by Category'!$D$5:$D$505=$D49),0),0))),"")</f>
        <v>9.4758800368138091E-4</v>
      </c>
      <c r="O49" s="14">
        <f>IFERROR(IF(INDEX('Spending by Category'!$O$5:$O$505,MATCH(1,INDEX(('Spending by Category'!$B$5:$B$505=$B49)*('Spending by Category'!$D$5:$D$505=$D49),0),0))="","",INDEX('Spending by Category'!$O$5:$O$505,MATCH(1,INDEX(('Spending by Category'!$B$5:$B$505=$B49)*('Spending by Category'!$D$5:$D$505=$D49),0),0))),"")</f>
        <v>0.19560119672592929</v>
      </c>
      <c r="P49" s="14">
        <f>IFERROR(IF(INDEX('Spending by Category'!$P$5:$P$505,MATCH(1,INDEX(('Spending by Category'!$B$5:$B$505=$B49)*('Spending by Category'!$D$5:$D$505=$D49),0),0))="","",INDEX('Spending by Category'!$P$5:$P$505,MATCH(1,INDEX(('Spending by Category'!$B$5:$B$505=$B49)*('Spending by Category'!$D$5:$D$505=$D49),0),0))),"")</f>
        <v>8.1724683753394891E-3</v>
      </c>
      <c r="Q49" s="14" t="str">
        <f>IFERROR(IF(INDEX('Spending by Category'!$Q$5:$Q$505,MATCH(1,INDEX(('Spending by Category'!$B$5:$B$505=$B49)*('Spending by Category'!$D$5:$D$505=$D49),0),0))="","",INDEX('Spending by Category'!$Q$5:$Q$505,MATCH(1,INDEX(('Spending by Category'!$B$5:$B$505=$B49)*('Spending by Category'!$D$5:$D$505=$D49),0),0))),"")</f>
        <v/>
      </c>
      <c r="R49" s="14">
        <f>IFERROR(IF(INDEX('Spending by Category'!$R$5:$R$505,MATCH(1,INDEX(('Spending by Category'!$B$5:$B$505=$B49)*('Spending by Category'!$D$5:$D$505=$D49),0),0))="","",INDEX('Spending by Category'!$R$5:$R$505,MATCH(1,INDEX(('Spending by Category'!$B$5:$B$505=$B49)*('Spending by Category'!$D$5:$D$505=$D49),0),0))),"")</f>
        <v>1.0000000000000016</v>
      </c>
      <c r="S49" s="14">
        <f>IFERROR(IF(INDEX('Spending by Category'!$Z$5:$Z$505,MATCH(1,INDEX(('Spending by Category'!$B$5:$B$505=$B49)*('Spending by Category'!$D$5:$D$505=$D49),0),0))="","",INDEX('Spending by Category'!$Z$5:$Z$505,MATCH(1,INDEX(('Spending by Category'!$B$5:$B$505=$B49)*('Spending by Category'!$D$5:$D$505=$D49),0),0))),"")</f>
        <v>9.4147319800000004E-2</v>
      </c>
    </row>
    <row r="50" spans="1:19" x14ac:dyDescent="0.2">
      <c r="A50" s="6" t="s">
        <v>174</v>
      </c>
      <c r="B50" s="6" t="s">
        <v>175</v>
      </c>
      <c r="C50" s="6"/>
      <c r="D50" s="15" t="str">
        <f>TEXT(SUMPRODUCT(MAX(('Spending by Category'!$B$5:$B$505=$B50)*('Spending by Category'!$D$5:$D$505+0))),"0")</f>
        <v>2024</v>
      </c>
      <c r="E50" s="15" t="str">
        <f>INDEX('Spending by Category'!$E$5:$E$505,MATCH(1,INDEX(('Spending by Category'!$B$5:$B$505=$B50)*('Spending by Category'!$D$5:$D$505=$D50),0),0))</f>
        <v>Central government (budgetary)</v>
      </c>
      <c r="F50" s="14">
        <f>IFERROR(IF(INDEX('Spending by Category'!$F$5:$F$505,MATCH(1,INDEX(('Spending by Category'!$B$5:$B$505=$B50)*('Spending by Category'!$D$5:$D$505=$D50),0),0))="","",INDEX('Spending by Category'!$F$5:$F$505,MATCH(1,INDEX(('Spending by Category'!$B$5:$B$505=$B50)*('Spending by Category'!$D$5:$D$505=$D50),0),0))),"")</f>
        <v>0.19874762639477481</v>
      </c>
      <c r="G50" s="14">
        <f>IFERROR(IF(INDEX('Spending by Category'!$G$5:$G$505,MATCH(1,INDEX(('Spending by Category'!$B$5:$B$505=$B50)*('Spending by Category'!$D$5:$D$505=$D50),0),0))="","",INDEX('Spending by Category'!$G$5:$G$505,MATCH(1,INDEX(('Spending by Category'!$B$5:$B$505=$B50)*('Spending by Category'!$D$5:$D$505=$D50),0),0))),"")</f>
        <v>0.30817341345046612</v>
      </c>
      <c r="H50" s="14">
        <f>IFERROR(IF(INDEX('Spending by Category'!$H$5:$H$505,MATCH(1,INDEX(('Spending by Category'!$B$5:$B$505=$B50)*('Spending by Category'!$D$5:$D$505=$D50),0),0))="","",INDEX('Spending by Category'!$H$5:$H$505,MATCH(1,INDEX(('Spending by Category'!$B$5:$B$505=$B50)*('Spending by Category'!$D$5:$D$505=$D50),0),0))),"")</f>
        <v>5.4676403133973983E-2</v>
      </c>
      <c r="I50" s="14">
        <f>IFERROR(IF(INDEX('Spending by Category'!$I$5:$I$505,MATCH(1,INDEX(('Spending by Category'!$B$5:$B$505=$B50)*('Spending by Category'!$D$5:$D$505=$D50),0),0))="","",INDEX('Spending by Category'!$I$5:$I$505,MATCH(1,INDEX(('Spending by Category'!$B$5:$B$505=$B50)*('Spending by Category'!$D$5:$D$505=$D50),0),0))),"")</f>
        <v>5.0265321785406679E-2</v>
      </c>
      <c r="J50" s="14">
        <f>IFERROR(IF(INDEX('Spending by Category'!$J$5:$J$505,MATCH(1,INDEX(('Spending by Category'!$B$5:$B$505=$B50)*('Spending by Category'!$D$5:$D$505=$D50),0),0))="","",INDEX('Spending by Category'!$J$5:$J$505,MATCH(1,INDEX(('Spending by Category'!$B$5:$B$505=$B50)*('Spending by Category'!$D$5:$D$505=$D50),0),0))),"")</f>
        <v>4.6092804961449872E-2</v>
      </c>
      <c r="K50" s="14">
        <f>IFERROR(IF(INDEX('Spending by Category'!$K$5:$K$505,MATCH(1,INDEX(('Spending by Category'!$B$5:$B$505=$B50)*('Spending by Category'!$D$5:$D$505=$D50),0),0))="","",INDEX('Spending by Category'!$K$5:$K$505,MATCH(1,INDEX(('Spending by Category'!$B$5:$B$505=$B50)*('Spending by Category'!$D$5:$D$505=$D50),0),0))),"")</f>
        <v>5.5858447068375143E-3</v>
      </c>
      <c r="L50" s="14">
        <f>IFERROR(IF(INDEX('Spending by Category'!$L$5:$L$505,MATCH(1,INDEX(('Spending by Category'!$B$5:$B$505=$B50)*('Spending by Category'!$D$5:$D$505=$D50),0),0))="","",INDEX('Spending by Category'!$L$5:$L$505,MATCH(1,INDEX(('Spending by Category'!$B$5:$B$505=$B50)*('Spending by Category'!$D$5:$D$505=$D50),0),0))),"")</f>
        <v>4.8428533402947449E-2</v>
      </c>
      <c r="M50" s="16">
        <f>IFERROR(IF(INDEX('Spending by Category'!$M$5:$M$505,MATCH(1,INDEX(('Spending by Category'!$B$5:$B$505=$B50)*('Spending by Category'!$D$5:$D$505=$D50),0),0))="","",INDEX('Spending by Category'!$M$5:$M$505,MATCH(1,INDEX(('Spending by Category'!$B$5:$B$505=$B50)*('Spending by Category'!$D$5:$D$505=$D50),0),0))),"")</f>
        <v>8.3578293196891709E-2</v>
      </c>
      <c r="N50" s="14">
        <f>IFERROR(IF(INDEX('Spending by Category'!$N$5:$N$505,MATCH(1,INDEX(('Spending by Category'!$B$5:$B$505=$B50)*('Spending by Category'!$D$5:$D$505=$D50),0),0))="","",INDEX('Spending by Category'!$N$5:$N$505,MATCH(1,INDEX(('Spending by Category'!$B$5:$B$505=$B50)*('Spending by Category'!$D$5:$D$505=$D50),0),0))),"")</f>
        <v>2.6928891039521472E-3</v>
      </c>
      <c r="O50" s="14">
        <f>IFERROR(IF(INDEX('Spending by Category'!$O$5:$O$505,MATCH(1,INDEX(('Spending by Category'!$B$5:$B$505=$B50)*('Spending by Category'!$D$5:$D$505=$D50),0),0))="","",INDEX('Spending by Category'!$O$5:$O$505,MATCH(1,INDEX(('Spending by Category'!$B$5:$B$505=$B50)*('Spending by Category'!$D$5:$D$505=$D50),0),0))),"")</f>
        <v>0.14600941085194041</v>
      </c>
      <c r="P50" s="14">
        <f>IFERROR(IF(INDEX('Spending by Category'!$P$5:$P$505,MATCH(1,INDEX(('Spending by Category'!$B$5:$B$505=$B50)*('Spending by Category'!$D$5:$D$505=$D50),0),0))="","",INDEX('Spending by Category'!$P$5:$P$505,MATCH(1,INDEX(('Spending by Category'!$B$5:$B$505=$B50)*('Spending by Category'!$D$5:$D$505=$D50),0),0))),"")</f>
        <v>5.5749459011359408E-2</v>
      </c>
      <c r="Q50" s="14" t="str">
        <f>IFERROR(IF(INDEX('Spending by Category'!$Q$5:$Q$505,MATCH(1,INDEX(('Spending by Category'!$B$5:$B$505=$B50)*('Spending by Category'!$D$5:$D$505=$D50),0),0))="","",INDEX('Spending by Category'!$Q$5:$Q$505,MATCH(1,INDEX(('Spending by Category'!$B$5:$B$505=$B50)*('Spending by Category'!$D$5:$D$505=$D50),0),0))),"")</f>
        <v/>
      </c>
      <c r="R50" s="14">
        <f>IFERROR(IF(INDEX('Spending by Category'!$R$5:$R$505,MATCH(1,INDEX(('Spending by Category'!$B$5:$B$505=$B50)*('Spending by Category'!$D$5:$D$505=$D50),0),0))="","",INDEX('Spending by Category'!$R$5:$R$505,MATCH(1,INDEX(('Spending by Category'!$B$5:$B$505=$B50)*('Spending by Category'!$D$5:$D$505=$D50),0),0))),"")</f>
        <v>1.0000000000000002</v>
      </c>
      <c r="S50" s="14" t="str">
        <f>IFERROR(IF(INDEX('Spending by Category'!$Z$5:$Z$505,MATCH(1,INDEX(('Spending by Category'!$B$5:$B$505=$B50)*('Spending by Category'!$D$5:$D$505=$D50),0),0))="","",INDEX('Spending by Category'!$Z$5:$Z$505,MATCH(1,INDEX(('Spending by Category'!$B$5:$B$505=$B50)*('Spending by Category'!$D$5:$D$505=$D50),0),0))),"")</f>
        <v/>
      </c>
    </row>
  </sheetData>
  <autoFilter ref="A4:S5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ht="16" x14ac:dyDescent="0.2">
      <c r="A1" s="1" t="s">
        <v>457</v>
      </c>
    </row>
    <row r="3" spans="1:2" ht="30" x14ac:dyDescent="0.2">
      <c r="A3" s="17" t="s">
        <v>458</v>
      </c>
      <c r="B3" s="18" t="s">
        <v>459</v>
      </c>
    </row>
    <row r="4" spans="1:2" ht="30" x14ac:dyDescent="0.2">
      <c r="A4" s="17" t="s">
        <v>460</v>
      </c>
      <c r="B4" s="18" t="s">
        <v>461</v>
      </c>
    </row>
    <row r="5" spans="1:2" ht="30" x14ac:dyDescent="0.2">
      <c r="A5" s="17" t="s">
        <v>462</v>
      </c>
      <c r="B5" s="18" t="s">
        <v>463</v>
      </c>
    </row>
    <row r="6" spans="1:2" ht="30" x14ac:dyDescent="0.2">
      <c r="A6" s="17" t="s">
        <v>464</v>
      </c>
      <c r="B6" s="18" t="s">
        <v>465</v>
      </c>
    </row>
    <row r="7" spans="1:2" ht="30" x14ac:dyDescent="0.2">
      <c r="A7" s="17" t="s">
        <v>466</v>
      </c>
      <c r="B7" s="18" t="s">
        <v>467</v>
      </c>
    </row>
    <row r="8" spans="1:2" x14ac:dyDescent="0.2">
      <c r="A8" s="17" t="s">
        <v>468</v>
      </c>
      <c r="B8" s="18" t="s">
        <v>469</v>
      </c>
    </row>
    <row r="9" spans="1:2" x14ac:dyDescent="0.2">
      <c r="A9" s="17" t="s">
        <v>34</v>
      </c>
      <c r="B9" s="18" t="s">
        <v>470</v>
      </c>
    </row>
    <row r="10" spans="1:2" ht="30" x14ac:dyDescent="0.2">
      <c r="A10" s="17" t="s">
        <v>471</v>
      </c>
      <c r="B10" s="18" t="s">
        <v>472</v>
      </c>
    </row>
    <row r="11" spans="1:2" ht="30" x14ac:dyDescent="0.2">
      <c r="A11" s="17" t="s">
        <v>473</v>
      </c>
      <c r="B11" s="18" t="s">
        <v>474</v>
      </c>
    </row>
    <row r="12" spans="1:2" ht="60" x14ac:dyDescent="0.2">
      <c r="A12" s="17" t="s">
        <v>475</v>
      </c>
      <c r="B12" s="18" t="s">
        <v>476</v>
      </c>
    </row>
    <row r="13" spans="1:2" x14ac:dyDescent="0.2">
      <c r="A13" s="17" t="s">
        <v>477</v>
      </c>
      <c r="B13" s="18" t="s">
        <v>478</v>
      </c>
    </row>
    <row r="14" spans="1:2" ht="45" x14ac:dyDescent="0.2">
      <c r="A14" s="17" t="s">
        <v>479</v>
      </c>
      <c r="B14" s="18" t="s">
        <v>480</v>
      </c>
    </row>
    <row r="15" spans="1:2" ht="30" x14ac:dyDescent="0.2">
      <c r="A15" s="17" t="s">
        <v>443</v>
      </c>
      <c r="B15" s="18" t="s">
        <v>481</v>
      </c>
    </row>
    <row r="16" spans="1:2" x14ac:dyDescent="0.2">
      <c r="A16" s="17" t="s">
        <v>482</v>
      </c>
      <c r="B16" s="18" t="s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Countries</vt:lpstr>
      <vt:lpstr>All GHED Countries</vt:lpstr>
      <vt:lpstr>Spending by Category</vt:lpstr>
      <vt:lpstr>Latest Year by Category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Bhasin, Nick</cp:lastModifiedBy>
  <dcterms:created xsi:type="dcterms:W3CDTF">2026-10-21T18:08:35Z</dcterms:created>
  <dcterms:modified xsi:type="dcterms:W3CDTF">2026-10-21T18:08:43Z</dcterms:modified>
</cp:coreProperties>
</file>